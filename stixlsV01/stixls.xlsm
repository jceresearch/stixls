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defaultThemeVersion="166925"/>
  <mc:AlternateContent xmlns:mc="http://schemas.openxmlformats.org/markup-compatibility/2006">
    <mc:Choice Requires="x15">
      <x15ac:absPath xmlns:x15ac="http://schemas.microsoft.com/office/spreadsheetml/2010/11/ac" url="C:\Users\User\git\stixls\"/>
    </mc:Choice>
  </mc:AlternateContent>
  <xr:revisionPtr revIDLastSave="0" documentId="13_ncr:1_{368095BA-8CD9-4F20-9427-4CF3D0263C14}" xr6:coauthVersionLast="45" xr6:coauthVersionMax="45" xr10:uidLastSave="{00000000-0000-0000-0000-000000000000}"/>
  <bookViews>
    <workbookView xWindow="-120" yWindow="-120" windowWidth="29040" windowHeight="15840" tabRatio="803" firstSheet="3" activeTab="4"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<sst xmlns="http://schemas.openxmlformats.org/spreadsheetml/2006/main" count="390" uniqueCount="152">
  <si>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</si>
  <si>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</si>
  <si>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</si>
  <si>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</si>
  <si>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</si>
  <si>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</si>
  <si>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</si>
  <si>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</si>
  <si>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</si>
  <si>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</si>
  <si>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</si>
  <si>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</si>
  <si>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</si>
  <si>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</si>
  <si>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</si>
  <si>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</si>
  <si>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</si>
  <si>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</si>
  <si>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</si>
  <si>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</si>
  <si>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</si>
  <si>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</si>
  <si>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</si>
  <si>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</si>
  <si>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</si>
  <si>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</si>
  <si>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</si>
  <si>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</si>
  <si>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</si>
  <si>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</si>
  <si>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</si>
  <si>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</si>
  <si>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</si>
  <si>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</si>
  <si>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</si>
  <si>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</si>
  <si>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</si>
  <si>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</si>
  <si>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</si>
  <si>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</si>
  <si>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</si>
  <si>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</si>
  <si>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</si>
  <si>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</si>
  <si>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</si>
  <si>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</si>
  <si>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</si>
  <si>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</si>
  <si>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</si>
  <si>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</si>
  <si>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</si>
  <si>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</si>
  <si>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</si>
  <si>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</si>
  <si>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</si>
  <si>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</si>
  <si>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</si>
  <si>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</si>
  <si>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</si>
  <si>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</si>
  <si>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</si>
  <si>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</si>
  <si>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</si>
  <si>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</si>
  <si>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</si>
  <si>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</si>
  <si>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</si>
  <si>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</si>
  <si>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</si>
  <si>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</si>
  <si>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</si>
  <si>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</si>
  <si>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</si>
  <si>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</si>
  <si>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</si>
  <si>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</si>
  <si>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</si>
  <si>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</si>
  <si>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</si>
  <si>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</si>
  <si>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</si>
  <si>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</si>
  <si>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</si>
  <si>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</si>
  <si>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</si>
  <si>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</si>
  <si>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</si>
  <si>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</si>
  <si>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</si>
  <si>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</si>
  <si>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</si>
  <si>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</si>
  <si>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</si>
  <si>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</si>
  <si>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</si>
  <si>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</si>
  <si>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</si>
  <si>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</si>
  <si>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</si>
  <si>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</si>
  <si>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</si>
  <si>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</si>
  <si>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</si>
  <si>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</si>
  <si>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</si>
  <si>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</si>
  <si>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</si>
  <si>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</si>
  <si>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</si>
  <si>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</si>
  <si>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</si>
  <si>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</si>
  <si>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</si>
  <si>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</si>
  <si>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</si>
  <si>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</si>
  <si>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</si>
  <si>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</si>
  <si>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</si>
  <si>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</si>
  <si>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</si>
  <si>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</si>
  <si>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</si>
  <si>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</si>
  <si>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</si>
  <si>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</si>
  <si>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</si>
  <si>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</si>
  <si>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</si>
  <si>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</si>
  <si>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</si>
  <si>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</si>
  <si>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</si>
  <si>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</si>
  <si>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</si>
  <si>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</si>
  <si>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</si>
  <si>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</si>
  <si>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Release 3</t>
  </si>
  <si>
    <t>User Stories</t>
  </si>
  <si>
    <t>Security Testing</t>
  </si>
  <si>
    <t>Signed off by Customer Services</t>
  </si>
  <si>
    <t>Pending Publishing Strategy</t>
  </si>
  <si>
    <t>RED</t>
  </si>
  <si>
    <t>Blue</t>
  </si>
  <si>
    <t>Layout5</t>
  </si>
  <si>
    <t>Template4</t>
  </si>
  <si>
    <t>Default</t>
  </si>
  <si>
    <t>c:\temp</t>
  </si>
  <si>
    <t>Kanban High Priority (READ ONLY)</t>
  </si>
  <si>
    <t>(Read Only  w/supressed alerts)</t>
  </si>
  <si>
    <r>
      <t xml:space="preserve">Timeline </t>
    </r>
    <r>
      <rPr>
        <sz val="42"/>
        <color rgb="FFFF0000"/>
        <rFont val="Calibri"/>
        <family val="2"/>
        <scheme val="minor"/>
      </rPr>
      <t>(Read Only with suppressed alerts)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</si>
</sst>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sz val="11"/>
      <color rgb="FFFF0000"/>
      <name val="Calibri"/>
      <family val="2"/>
      <scheme val="minor"/>
    </font>
    <font>
      <sz val="42"/>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7">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xf numFmtId="0" fontId="11" fillId="2" borderId="10" xfId="0" applyFont="1"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M9" sqref="M9"/>
    </sheetView>
  </sheetViews>
  <sheetFormatPr defaultRowHeight="15" x14ac:dyDescent="0.25"/>
  <cols>
    <col min="1" max="1" width="4.85546875" bestFit="1"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32.28515625" bestFit="1" customWidth="1"/>
    <col min="16" max="17" width="42.42578125" customWidth="1"/>
    <col min="18" max="18" width="13.42578125" bestFit="1" customWidth="1"/>
  </cols>
  <sheetData>
    <row r="1" spans="1:19" x14ac:dyDescent="0.25">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25">
      <c r="B2">
        <v>1</v>
      </c>
      <c r="C2" t="s">
        <v>54</v>
      </c>
      <c r="D2" t="s">
        <v>72</v>
      </c>
      <c r="E2">
        <f t="shared" ref="E2:E19" ca="1" si="0">RANDBETWEEN(1,5)</f>
        <v>5</v>
      </c>
      <c r="F2" t="s">
        <v>64</v>
      </c>
      <c r="G2" t="s">
        <v>26</v>
      </c>
      <c r="H2" t="s">
        <v>9</v>
      </c>
      <c r="I2" s="18">
        <f ca="1">DATE(YEAR(NOW()),1,1)</f>
        <v>43831</v>
      </c>
      <c r="J2" s="18">
        <f ca="1">I2+ROUND(RANDBETWEEN(1,30),0)</f>
        <v>43851</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Yes</v>
      </c>
      <c r="S2" t="str">
        <f>IF(UPPER(G2)="PIPELINE","DEFAULT",IF(UPPER(G2)="COMPLETED","BLUE",H2))</f>
        <v>BLUE</v>
      </c>
    </row>
    <row r="3" spans="1:19" x14ac:dyDescent="0.25">
      <c r="B3">
        <v>2</v>
      </c>
      <c r="C3" t="s">
        <v>139</v>
      </c>
      <c r="D3" t="s">
        <v>72</v>
      </c>
      <c r="E3">
        <f t="shared" ca="1" si="0"/>
        <v>3</v>
      </c>
      <c r="F3" t="s">
        <v>27</v>
      </c>
      <c r="G3" t="s">
        <v>26</v>
      </c>
      <c r="H3" t="s">
        <v>9</v>
      </c>
      <c r="I3" s="18">
        <f t="shared" ref="I3:I9" ca="1" si="7">J2</f>
        <v>43851</v>
      </c>
      <c r="J3" s="18">
        <f t="shared" ref="J3:J19" ca="1" si="8">I3+ROUND(RANDBETWEEN(1,60),0)</f>
        <v>43860</v>
      </c>
      <c r="K3" s="18" t="str">
        <f t="shared" ca="1" si="1"/>
        <v>January</v>
      </c>
      <c r="L3" t="str">
        <f t="shared" ca="1" si="2"/>
        <v>No</v>
      </c>
      <c r="M3" t="s">
        <v>141</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25">
      <c r="B4">
        <v>3</v>
      </c>
      <c r="C4" t="s">
        <v>53</v>
      </c>
      <c r="D4" t="s">
        <v>72</v>
      </c>
      <c r="E4">
        <f t="shared" ca="1" si="0"/>
        <v>1</v>
      </c>
      <c r="F4" t="s">
        <v>28</v>
      </c>
      <c r="G4" t="s">
        <v>25</v>
      </c>
      <c r="H4" t="s">
        <v>37</v>
      </c>
      <c r="I4" s="18">
        <f t="shared" ca="1" si="7"/>
        <v>43860</v>
      </c>
      <c r="J4" s="18">
        <f t="shared" ca="1" si="8"/>
        <v>43920</v>
      </c>
      <c r="K4" s="18" t="str">
        <f t="shared" ca="1" si="1"/>
        <v>January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Month:January</v>
      </c>
      <c r="R4" t="str">
        <f t="shared" ca="1" si="6"/>
        <v>No</v>
      </c>
      <c r="S4" t="str">
        <f t="shared" si="9"/>
        <v>Amber</v>
      </c>
    </row>
    <row r="5" spans="1:19" x14ac:dyDescent="0.25">
      <c r="B5">
        <v>4</v>
      </c>
      <c r="C5" t="s">
        <v>55</v>
      </c>
      <c r="D5" t="s">
        <v>72</v>
      </c>
      <c r="E5">
        <f t="shared" ca="1" si="0"/>
        <v>2</v>
      </c>
      <c r="F5" t="s">
        <v>28</v>
      </c>
      <c r="G5" t="s">
        <v>84</v>
      </c>
      <c r="H5" t="s">
        <v>143</v>
      </c>
      <c r="I5" s="18">
        <f t="shared" ca="1" si="7"/>
        <v>43920</v>
      </c>
      <c r="J5" s="18">
        <f t="shared" ca="1" si="8"/>
        <v>43949</v>
      </c>
      <c r="K5" s="18" t="str">
        <f t="shared" ca="1" si="1"/>
        <v>March</v>
      </c>
      <c r="L5" t="str">
        <f t="shared" ca="1" si="2"/>
        <v>Yes</v>
      </c>
      <c r="N5" t="str">
        <f t="shared" si="3"/>
        <v xml:space="preserve">4 First MVP
</v>
      </c>
      <c r="O5" t="str">
        <f t="shared" si="10"/>
        <v>AssignedTo:BOB
Product:Product A</v>
      </c>
      <c r="P5" t="str">
        <f t="shared" si="4"/>
        <v>Product:Product A
Stage:PLANNING</v>
      </c>
      <c r="Q5" t="str">
        <f t="shared" ca="1" si="5"/>
        <v>AssignedTo:BOB
Month:March</v>
      </c>
      <c r="R5" t="str">
        <f t="shared" ca="1" si="6"/>
        <v>No</v>
      </c>
      <c r="S5" t="str">
        <f t="shared" si="9"/>
        <v>RED</v>
      </c>
    </row>
    <row r="6" spans="1:19" x14ac:dyDescent="0.25">
      <c r="B6">
        <v>5</v>
      </c>
      <c r="C6" t="s">
        <v>140</v>
      </c>
      <c r="D6" t="s">
        <v>72</v>
      </c>
      <c r="E6">
        <f t="shared" ca="1" si="0"/>
        <v>1</v>
      </c>
      <c r="F6" t="s">
        <v>64</v>
      </c>
      <c r="G6" t="s">
        <v>84</v>
      </c>
      <c r="H6" t="s">
        <v>9</v>
      </c>
      <c r="I6" s="18">
        <f t="shared" ca="1" si="7"/>
        <v>43949</v>
      </c>
      <c r="J6" s="18">
        <f t="shared" ca="1" si="8"/>
        <v>44007</v>
      </c>
      <c r="K6" s="18" t="str">
        <f t="shared" ca="1" si="1"/>
        <v>April</v>
      </c>
      <c r="L6" t="str">
        <f t="shared" ca="1" si="2"/>
        <v>No</v>
      </c>
      <c r="N6" t="str">
        <f t="shared" si="3"/>
        <v xml:space="preserve">5 Security Testing
</v>
      </c>
      <c r="O6" t="str">
        <f t="shared" si="10"/>
        <v>AssignedTo:YODA
Product:Product A</v>
      </c>
      <c r="P6" t="str">
        <f t="shared" si="4"/>
        <v>Product:Product A
Stage:PLANNING</v>
      </c>
      <c r="Q6" t="str">
        <f t="shared" ca="1" si="5"/>
        <v>AssignedTo:YODA
Month:April</v>
      </c>
      <c r="R6" t="str">
        <f t="shared" ca="1" si="6"/>
        <v>No</v>
      </c>
      <c r="S6" t="str">
        <f t="shared" si="9"/>
        <v>Green</v>
      </c>
    </row>
    <row r="7" spans="1:19" x14ac:dyDescent="0.25">
      <c r="B7">
        <v>6</v>
      </c>
      <c r="C7" t="s">
        <v>56</v>
      </c>
      <c r="D7" t="s">
        <v>72</v>
      </c>
      <c r="E7">
        <f t="shared" ca="1" si="0"/>
        <v>4</v>
      </c>
      <c r="F7" t="s">
        <v>27</v>
      </c>
      <c r="G7" t="s">
        <v>84</v>
      </c>
      <c r="H7" t="s">
        <v>37</v>
      </c>
      <c r="I7" s="18">
        <f t="shared" ca="1" si="7"/>
        <v>44007</v>
      </c>
      <c r="J7" s="18">
        <f t="shared" ca="1" si="8"/>
        <v>44051</v>
      </c>
      <c r="K7" s="18" t="str">
        <f t="shared" ca="1" si="1"/>
        <v>June</v>
      </c>
      <c r="L7" t="str">
        <f t="shared" ca="1" si="2"/>
        <v>No</v>
      </c>
      <c r="N7" t="str">
        <f t="shared" si="3"/>
        <v xml:space="preserve">6 UAT activities
</v>
      </c>
      <c r="O7" t="str">
        <f t="shared" si="10"/>
        <v>AssignedTo:ANNA
Product:Product A</v>
      </c>
      <c r="P7" t="str">
        <f t="shared" si="4"/>
        <v>Product:Product A
Stage:PLANNING</v>
      </c>
      <c r="Q7" t="str">
        <f t="shared" ca="1" si="5"/>
        <v>AssignedTo:ANNA
Month:June</v>
      </c>
      <c r="R7" t="str">
        <f t="shared" ca="1" si="6"/>
        <v>Yes</v>
      </c>
      <c r="S7" t="str">
        <f t="shared" si="9"/>
        <v>Amber</v>
      </c>
    </row>
    <row r="8" spans="1:19" x14ac:dyDescent="0.25">
      <c r="B8">
        <v>7</v>
      </c>
      <c r="C8" t="s">
        <v>59</v>
      </c>
      <c r="D8" t="s">
        <v>73</v>
      </c>
      <c r="E8">
        <f t="shared" ca="1" si="0"/>
        <v>2</v>
      </c>
      <c r="F8" t="s">
        <v>28</v>
      </c>
      <c r="G8" t="s">
        <v>25</v>
      </c>
      <c r="H8" t="s">
        <v>143</v>
      </c>
      <c r="I8" s="18">
        <f t="shared" ca="1" si="7"/>
        <v>44051</v>
      </c>
      <c r="J8" s="18">
        <f t="shared" ca="1" si="8"/>
        <v>44078</v>
      </c>
      <c r="K8" s="18" t="str">
        <f t="shared" ca="1" si="1"/>
        <v>August</v>
      </c>
      <c r="L8" t="str">
        <f t="shared" ca="1" si="2"/>
        <v>No</v>
      </c>
      <c r="N8" t="str">
        <f t="shared" si="3"/>
        <v xml:space="preserve">7 Backend and Devops
</v>
      </c>
      <c r="O8" t="str">
        <f t="shared" si="10"/>
        <v>AssignedTo:BOB
Product:Product B</v>
      </c>
      <c r="P8" t="str">
        <f t="shared" si="4"/>
        <v>Product:Product B
Stage:IN PROGRESS</v>
      </c>
      <c r="Q8" t="str">
        <f t="shared" ca="1" si="5"/>
        <v>AssignedTo:BOB
Month:August</v>
      </c>
      <c r="R8" t="str">
        <f t="shared" ca="1" si="6"/>
        <v>No</v>
      </c>
      <c r="S8" t="str">
        <f t="shared" si="9"/>
        <v>RED</v>
      </c>
    </row>
    <row r="9" spans="1:19" x14ac:dyDescent="0.25">
      <c r="B9">
        <v>8</v>
      </c>
      <c r="C9" t="s">
        <v>61</v>
      </c>
      <c r="D9" t="s">
        <v>72</v>
      </c>
      <c r="E9">
        <f t="shared" ca="1" si="0"/>
        <v>2</v>
      </c>
      <c r="F9" t="s">
        <v>64</v>
      </c>
      <c r="G9" t="s">
        <v>84</v>
      </c>
      <c r="H9" t="s">
        <v>9</v>
      </c>
      <c r="I9" s="18">
        <f t="shared" ca="1" si="7"/>
        <v>44078</v>
      </c>
      <c r="J9" s="18">
        <f t="shared" ca="1" si="8"/>
        <v>44084</v>
      </c>
      <c r="K9" s="18" t="str">
        <f t="shared" ca="1" si="1"/>
        <v>September</v>
      </c>
      <c r="L9" t="str">
        <f t="shared" ca="1" si="2"/>
        <v>No</v>
      </c>
      <c r="N9" t="str">
        <f t="shared" si="3"/>
        <v xml:space="preserve">8 Release 2
</v>
      </c>
      <c r="O9" t="str">
        <f t="shared" si="10"/>
        <v>AssignedTo:YODA
Product:Product A</v>
      </c>
      <c r="P9" t="str">
        <f t="shared" si="4"/>
        <v>Product:Product A
Stage:PLANNING</v>
      </c>
      <c r="Q9" t="str">
        <f t="shared" ca="1" si="5"/>
        <v>AssignedTo:YODA
Month:September</v>
      </c>
      <c r="R9" t="str">
        <f t="shared" ca="1" si="6"/>
        <v>No</v>
      </c>
      <c r="S9" t="str">
        <f t="shared" si="9"/>
        <v>Green</v>
      </c>
    </row>
    <row r="10" spans="1:19" x14ac:dyDescent="0.25">
      <c r="B10">
        <v>9</v>
      </c>
      <c r="C10" t="s">
        <v>54</v>
      </c>
      <c r="D10" t="s">
        <v>73</v>
      </c>
      <c r="E10">
        <f t="shared" ca="1" si="0"/>
        <v>3</v>
      </c>
      <c r="F10" t="s">
        <v>29</v>
      </c>
      <c r="G10" t="s">
        <v>26</v>
      </c>
      <c r="H10" t="s">
        <v>9</v>
      </c>
      <c r="I10" s="18">
        <f ca="1">DATE(YEAR(NOW()),3,1)</f>
        <v>43891</v>
      </c>
      <c r="J10" s="18">
        <f t="shared" ca="1" si="8"/>
        <v>43931</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25">
      <c r="B11">
        <v>10</v>
      </c>
      <c r="C11" t="s">
        <v>139</v>
      </c>
      <c r="D11" t="s">
        <v>73</v>
      </c>
      <c r="E11">
        <f t="shared" ca="1" si="0"/>
        <v>4</v>
      </c>
      <c r="F11" t="s">
        <v>27</v>
      </c>
      <c r="G11" t="s">
        <v>26</v>
      </c>
      <c r="H11" t="s">
        <v>9</v>
      </c>
      <c r="I11" s="18">
        <f t="shared" ref="I11:I18" ca="1" si="11">J10</f>
        <v>43931</v>
      </c>
      <c r="J11" s="18">
        <f t="shared" ca="1" si="8"/>
        <v>43966</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Yes</v>
      </c>
      <c r="S11" t="str">
        <f t="shared" si="9"/>
        <v>BLUE</v>
      </c>
    </row>
    <row r="12" spans="1:19" x14ac:dyDescent="0.25">
      <c r="B12">
        <v>11</v>
      </c>
      <c r="C12" t="s">
        <v>55</v>
      </c>
      <c r="D12" t="s">
        <v>73</v>
      </c>
      <c r="E12">
        <f t="shared" ca="1" si="0"/>
        <v>5</v>
      </c>
      <c r="F12" t="s">
        <v>64</v>
      </c>
      <c r="G12" t="s">
        <v>25</v>
      </c>
      <c r="H12" t="s">
        <v>9</v>
      </c>
      <c r="I12" s="18">
        <f t="shared" ca="1" si="11"/>
        <v>43966</v>
      </c>
      <c r="J12" s="18">
        <f t="shared" ca="1" si="8"/>
        <v>43975</v>
      </c>
      <c r="K12" s="18" t="str">
        <f t="shared" ca="1" si="1"/>
        <v>May</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Month:May</v>
      </c>
      <c r="R12" t="str">
        <f t="shared" ca="1" si="6"/>
        <v>Yes</v>
      </c>
      <c r="S12" t="str">
        <f t="shared" si="9"/>
        <v>Green</v>
      </c>
    </row>
    <row r="13" spans="1:19" x14ac:dyDescent="0.25">
      <c r="B13">
        <v>12</v>
      </c>
      <c r="C13" t="s">
        <v>57</v>
      </c>
      <c r="D13" t="s">
        <v>73</v>
      </c>
      <c r="E13">
        <f t="shared" ca="1" si="0"/>
        <v>4</v>
      </c>
      <c r="F13" t="s">
        <v>27</v>
      </c>
      <c r="G13" t="s">
        <v>25</v>
      </c>
      <c r="H13" t="s">
        <v>37</v>
      </c>
      <c r="I13" s="18">
        <f t="shared" ca="1" si="11"/>
        <v>43975</v>
      </c>
      <c r="J13" s="18">
        <f t="shared" ca="1" si="8"/>
        <v>43993</v>
      </c>
      <c r="K13" s="18" t="str">
        <f t="shared" ca="1" si="1"/>
        <v>May</v>
      </c>
      <c r="L13" t="str">
        <f t="shared" ca="1" si="2"/>
        <v>No</v>
      </c>
      <c r="N13" t="str">
        <f t="shared" si="3"/>
        <v xml:space="preserve">12 Focus groups
</v>
      </c>
      <c r="O13" t="str">
        <f t="shared" si="10"/>
        <v>AssignedTo:ANNA
Product:Product B</v>
      </c>
      <c r="P13" t="str">
        <f t="shared" si="4"/>
        <v>Product:Product B
Stage:IN PROGRESS</v>
      </c>
      <c r="Q13" t="str">
        <f t="shared" ca="1" si="5"/>
        <v>AssignedTo:ANNA
Month:May</v>
      </c>
      <c r="R13" t="str">
        <f t="shared" ca="1" si="6"/>
        <v>Yes</v>
      </c>
      <c r="S13" t="str">
        <f t="shared" si="9"/>
        <v>Amber</v>
      </c>
    </row>
    <row r="14" spans="1:19" x14ac:dyDescent="0.25">
      <c r="B14">
        <v>13</v>
      </c>
      <c r="C14" t="s">
        <v>58</v>
      </c>
      <c r="D14" t="s">
        <v>73</v>
      </c>
      <c r="E14">
        <f t="shared" ca="1" si="0"/>
        <v>1</v>
      </c>
      <c r="F14" t="s">
        <v>64</v>
      </c>
      <c r="G14" t="s">
        <v>84</v>
      </c>
      <c r="H14" t="s">
        <v>37</v>
      </c>
      <c r="I14" s="18">
        <f t="shared" ca="1" si="11"/>
        <v>43993</v>
      </c>
      <c r="J14" s="18">
        <f t="shared" ca="1" si="8"/>
        <v>44040</v>
      </c>
      <c r="K14" s="18" t="str">
        <f t="shared" ca="1" si="1"/>
        <v>June</v>
      </c>
      <c r="L14" t="str">
        <f t="shared" ca="1" si="2"/>
        <v>No</v>
      </c>
      <c r="N14" t="str">
        <f t="shared" si="3"/>
        <v xml:space="preserve">13 UX and Branding
</v>
      </c>
      <c r="O14" t="str">
        <f t="shared" si="10"/>
        <v>AssignedTo:YODA
Product:Product B</v>
      </c>
      <c r="P14" t="str">
        <f t="shared" si="4"/>
        <v>Product:Product B
Stage:PLANNING</v>
      </c>
      <c r="Q14" t="str">
        <f t="shared" ca="1" si="5"/>
        <v>AssignedTo:YODA
Month:June</v>
      </c>
      <c r="R14" t="str">
        <f t="shared" ca="1" si="6"/>
        <v>No</v>
      </c>
      <c r="S14" t="str">
        <f t="shared" si="9"/>
        <v>Amber</v>
      </c>
    </row>
    <row r="15" spans="1:19" x14ac:dyDescent="0.25">
      <c r="B15">
        <v>14</v>
      </c>
      <c r="C15" t="s">
        <v>60</v>
      </c>
      <c r="D15" t="s">
        <v>73</v>
      </c>
      <c r="E15">
        <f t="shared" ca="1" si="0"/>
        <v>4</v>
      </c>
      <c r="F15" t="s">
        <v>64</v>
      </c>
      <c r="G15" t="s">
        <v>84</v>
      </c>
      <c r="H15" t="s">
        <v>9</v>
      </c>
      <c r="I15" s="18">
        <f t="shared" ca="1" si="11"/>
        <v>44040</v>
      </c>
      <c r="J15" s="18">
        <f t="shared" ca="1" si="8"/>
        <v>44062</v>
      </c>
      <c r="K15" s="18" t="str">
        <f t="shared" ca="1" si="1"/>
        <v>July</v>
      </c>
      <c r="L15" t="str">
        <f t="shared" ca="1" si="2"/>
        <v>No</v>
      </c>
      <c r="N15" t="str">
        <f t="shared" si="3"/>
        <v xml:space="preserve">14 Release 1
</v>
      </c>
      <c r="O15" t="str">
        <f t="shared" si="10"/>
        <v>AssignedTo:YODA
Product:Product B</v>
      </c>
      <c r="P15" t="str">
        <f t="shared" si="4"/>
        <v>Product:Product B
Stage:PLANNING</v>
      </c>
      <c r="Q15" t="str">
        <f t="shared" ca="1" si="5"/>
        <v>AssignedTo:YODA
Month:July</v>
      </c>
      <c r="R15" t="str">
        <f t="shared" ca="1" si="6"/>
        <v>Yes</v>
      </c>
      <c r="S15" t="str">
        <f t="shared" si="9"/>
        <v>Green</v>
      </c>
    </row>
    <row r="16" spans="1:19" x14ac:dyDescent="0.25">
      <c r="B16">
        <v>15</v>
      </c>
      <c r="C16" t="s">
        <v>61</v>
      </c>
      <c r="D16" t="s">
        <v>73</v>
      </c>
      <c r="E16">
        <f t="shared" ca="1" si="0"/>
        <v>3</v>
      </c>
      <c r="F16" t="s">
        <v>64</v>
      </c>
      <c r="G16" t="s">
        <v>84</v>
      </c>
      <c r="H16" t="s">
        <v>9</v>
      </c>
      <c r="I16" s="18">
        <f t="shared" ca="1" si="11"/>
        <v>44062</v>
      </c>
      <c r="J16" s="18">
        <f t="shared" ca="1" si="8"/>
        <v>44066</v>
      </c>
      <c r="K16" s="18" t="str">
        <f t="shared" ca="1" si="1"/>
        <v>August</v>
      </c>
      <c r="L16" t="str">
        <f t="shared" ca="1" si="2"/>
        <v>No</v>
      </c>
      <c r="N16" t="str">
        <f t="shared" si="3"/>
        <v xml:space="preserve">15 Release 2
</v>
      </c>
      <c r="O16" t="str">
        <f t="shared" si="10"/>
        <v>AssignedTo:YODA
Product:Product B</v>
      </c>
      <c r="P16" t="str">
        <f t="shared" si="4"/>
        <v>Product:Product B
Stage:PLANNING</v>
      </c>
      <c r="Q16" t="str">
        <f t="shared" ca="1" si="5"/>
        <v>AssignedTo:YODA
Month:August</v>
      </c>
      <c r="R16" t="str">
        <f t="shared" ca="1" si="6"/>
        <v>No</v>
      </c>
      <c r="S16" t="str">
        <f t="shared" si="9"/>
        <v>Green</v>
      </c>
    </row>
    <row r="17" spans="2:19" x14ac:dyDescent="0.25">
      <c r="B17">
        <v>16</v>
      </c>
      <c r="C17" t="s">
        <v>138</v>
      </c>
      <c r="D17" t="s">
        <v>73</v>
      </c>
      <c r="E17">
        <f t="shared" ca="1" si="0"/>
        <v>3</v>
      </c>
      <c r="F17" t="s">
        <v>64</v>
      </c>
      <c r="G17" t="s">
        <v>84</v>
      </c>
      <c r="H17" t="s">
        <v>9</v>
      </c>
      <c r="I17" s="18">
        <f t="shared" ca="1" si="11"/>
        <v>44066</v>
      </c>
      <c r="J17" s="18">
        <f t="shared" ca="1" si="8"/>
        <v>44074</v>
      </c>
      <c r="K17" s="18" t="str">
        <f t="shared" ca="1" si="1"/>
        <v>August</v>
      </c>
      <c r="L17" t="str">
        <f t="shared" ca="1" si="2"/>
        <v>No</v>
      </c>
      <c r="N17" t="str">
        <f t="shared" si="3"/>
        <v xml:space="preserve">16 Release 3
</v>
      </c>
      <c r="O17" t="str">
        <f t="shared" si="10"/>
        <v>AssignedTo:YODA
Product:Product B</v>
      </c>
      <c r="P17" t="str">
        <f t="shared" si="4"/>
        <v>Product:Product B
Stage:PLANNING</v>
      </c>
      <c r="Q17" t="str">
        <f t="shared" ca="1" si="5"/>
        <v>AssignedTo:YODA
Month:August</v>
      </c>
      <c r="R17" t="str">
        <f t="shared" ca="1" si="6"/>
        <v>No</v>
      </c>
      <c r="S17" t="str">
        <f t="shared" si="9"/>
        <v>Green</v>
      </c>
    </row>
    <row r="18" spans="2:19" x14ac:dyDescent="0.25">
      <c r="B18">
        <v>19</v>
      </c>
      <c r="C18" t="s">
        <v>54</v>
      </c>
      <c r="D18" t="s">
        <v>74</v>
      </c>
      <c r="E18">
        <f t="shared" ca="1" si="0"/>
        <v>5</v>
      </c>
      <c r="F18" t="s">
        <v>64</v>
      </c>
      <c r="G18" t="s">
        <v>86</v>
      </c>
      <c r="H18" t="s">
        <v>9</v>
      </c>
      <c r="I18" s="18">
        <f t="shared" ca="1" si="11"/>
        <v>44074</v>
      </c>
      <c r="J18" s="18">
        <f t="shared" ca="1" si="8"/>
        <v>44083</v>
      </c>
      <c r="K18" s="18" t="str">
        <f t="shared" ca="1" si="1"/>
        <v>August</v>
      </c>
      <c r="L18" t="str">
        <f t="shared" ca="1" si="2"/>
        <v>No</v>
      </c>
      <c r="M18" t="s">
        <v>142</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Month:August</v>
      </c>
      <c r="R18" t="str">
        <f t="shared" ca="1" si="6"/>
        <v>Yes</v>
      </c>
      <c r="S18" t="str">
        <f t="shared" si="9"/>
        <v>DEFAULT</v>
      </c>
    </row>
    <row r="19" spans="2:19" x14ac:dyDescent="0.25">
      <c r="B19">
        <v>20</v>
      </c>
      <c r="C19" t="s">
        <v>52</v>
      </c>
      <c r="D19" t="s">
        <v>74</v>
      </c>
      <c r="E19">
        <f t="shared" ca="1" si="0"/>
        <v>1</v>
      </c>
      <c r="F19" t="s">
        <v>27</v>
      </c>
      <c r="G19" t="s">
        <v>86</v>
      </c>
      <c r="H19" t="s">
        <v>9</v>
      </c>
      <c r="I19" s="18">
        <f ca="1">DATE(YEAR(NOW()),6,1)</f>
        <v>43983</v>
      </c>
      <c r="J19" s="18">
        <f t="shared" ca="1" si="8"/>
        <v>43997</v>
      </c>
      <c r="K19" s="18" t="str">
        <f t="shared" ca="1" si="1"/>
        <v>June</v>
      </c>
      <c r="L19" t="str">
        <f t="shared" ca="1" si="2"/>
        <v>No</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5" x14ac:dyDescent="0.25"/>
  <cols>
    <col min="1" max="1" width="28.28515625" customWidth="1"/>
    <col min="2" max="2" width="32.5703125" customWidth="1"/>
    <col min="3" max="3" width="85" bestFit="1" customWidth="1"/>
  </cols>
  <sheetData>
    <row r="1" spans="1:3" x14ac:dyDescent="0.25">
      <c r="A1" t="s">
        <v>102</v>
      </c>
      <c r="B1" t="s">
        <v>0</v>
      </c>
      <c r="C1" t="s">
        <v>104</v>
      </c>
    </row>
    <row r="2" spans="1:3" x14ac:dyDescent="0.25">
      <c r="A2" t="s">
        <v>101</v>
      </c>
      <c r="B2" t="s">
        <v>148</v>
      </c>
      <c r="C2" t="s">
        <v>105</v>
      </c>
    </row>
    <row r="3" spans="1:3" x14ac:dyDescent="0.25">
      <c r="A3" t="s">
        <v>100</v>
      </c>
      <c r="B3" t="s">
        <v>0</v>
      </c>
      <c r="C3" t="s">
        <v>106</v>
      </c>
    </row>
    <row r="4" spans="1:3" x14ac:dyDescent="0.25">
      <c r="A4" t="s">
        <v>87</v>
      </c>
      <c r="B4" t="s">
        <v>82</v>
      </c>
      <c r="C4" t="s">
        <v>107</v>
      </c>
    </row>
    <row r="5" spans="1:3" x14ac:dyDescent="0.25">
      <c r="A5" t="s">
        <v>99</v>
      </c>
      <c r="B5" t="s">
        <v>148</v>
      </c>
      <c r="C5" t="s">
        <v>108</v>
      </c>
    </row>
    <row r="6" spans="1:3" x14ac:dyDescent="0.25">
      <c r="A6" t="s">
        <v>36</v>
      </c>
      <c r="B6">
        <v>1.2</v>
      </c>
      <c r="C6" t="s">
        <v>109</v>
      </c>
    </row>
    <row r="7" spans="1:3" x14ac:dyDescent="0.25">
      <c r="A7" t="s">
        <v>98</v>
      </c>
      <c r="B7" t="s">
        <v>39</v>
      </c>
      <c r="C7" t="s">
        <v>110</v>
      </c>
    </row>
    <row r="12" spans="1:3" x14ac:dyDescent="0.25">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B13" sqref="B13"/>
    </sheetView>
  </sheetViews>
  <sheetFormatPr defaultRowHeight="15" x14ac:dyDescent="0.25"/>
  <cols>
    <col min="1" max="1" width="20.140625" bestFit="1" customWidth="1"/>
    <col min="3" max="3" width="21.710937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tabSelected="1" zoomScaleNormal="100" workbookViewId="0">
      <selection activeCell="K17" sqref="K17"/>
    </sheetView>
  </sheetViews>
  <sheetFormatPr defaultRowHeight="15" x14ac:dyDescent="0.25"/>
  <cols>
    <col min="1" max="1" width="25.5703125" bestFit="1" customWidth="1"/>
    <col min="2" max="6" width="17" bestFit="1" customWidth="1"/>
  </cols>
  <sheetData>
    <row r="1" spans="1:6" x14ac:dyDescent="0.25">
      <c r="A1" t="s">
        <v>10</v>
      </c>
      <c r="B1" t="s">
        <v>11</v>
      </c>
      <c r="C1" t="s">
        <v>70</v>
      </c>
      <c r="D1" t="s">
        <v>133</v>
      </c>
      <c r="E1" t="s">
        <v>136</v>
      </c>
      <c r="F1" t="s">
        <v>145</v>
      </c>
    </row>
    <row r="2" spans="1:6" x14ac:dyDescent="0.25">
      <c r="A2" t="s">
        <v>12</v>
      </c>
      <c r="B2" t="s">
        <v>103</v>
      </c>
      <c r="C2" t="s">
        <v>79</v>
      </c>
      <c r="D2" t="s">
        <v>117</v>
      </c>
      <c r="E2" t="s">
        <v>149</v>
      </c>
    </row>
    <row r="3" spans="1:6" x14ac:dyDescent="0.25">
      <c r="A3" t="s">
        <v>80</v>
      </c>
      <c r="B3" t="s">
        <v>81</v>
      </c>
      <c r="C3" t="s">
        <v>81</v>
      </c>
      <c r="D3" t="s">
        <v>81</v>
      </c>
      <c r="E3" t="s">
        <v>81</v>
      </c>
    </row>
    <row r="4" spans="1:6" x14ac:dyDescent="0.25">
      <c r="A4" t="s">
        <v>23</v>
      </c>
      <c r="B4" t="s">
        <v>30</v>
      </c>
      <c r="C4" t="s">
        <v>71</v>
      </c>
      <c r="D4" t="s">
        <v>134</v>
      </c>
      <c r="E4" t="s">
        <v>71</v>
      </c>
      <c r="F4" t="s">
        <v>146</v>
      </c>
    </row>
    <row r="5" spans="1:6" x14ac:dyDescent="0.25">
      <c r="A5" t="s">
        <v>95</v>
      </c>
    </row>
    <row r="6" spans="1:6" x14ac:dyDescent="0.25">
      <c r="A6" t="s">
        <v>96</v>
      </c>
    </row>
    <row r="7" spans="1:6" x14ac:dyDescent="0.25">
      <c r="A7" t="s">
        <v>97</v>
      </c>
    </row>
    <row r="8" spans="1:6" x14ac:dyDescent="0.25">
      <c r="A8" t="s">
        <v>13</v>
      </c>
      <c r="B8" s="15" t="s">
        <v>77</v>
      </c>
      <c r="C8" s="15" t="s">
        <v>77</v>
      </c>
      <c r="D8" s="15" t="s">
        <v>77</v>
      </c>
      <c r="E8" s="15"/>
      <c r="F8" s="15" t="s">
        <v>77</v>
      </c>
    </row>
    <row r="9" spans="1:6" x14ac:dyDescent="0.25">
      <c r="A9" t="s">
        <v>14</v>
      </c>
      <c r="B9" s="15"/>
      <c r="C9" s="15"/>
      <c r="D9" s="15"/>
      <c r="E9" s="15" t="s">
        <v>15</v>
      </c>
      <c r="F9" s="15"/>
    </row>
    <row r="10" spans="1:6" x14ac:dyDescent="0.25">
      <c r="A10" t="s">
        <v>16</v>
      </c>
      <c r="B10" s="15"/>
      <c r="C10" s="15"/>
      <c r="D10" s="15"/>
      <c r="E10" s="15" t="s">
        <v>17</v>
      </c>
      <c r="F10" s="15"/>
    </row>
    <row r="11" spans="1:6" x14ac:dyDescent="0.25">
      <c r="A11" t="s">
        <v>18</v>
      </c>
      <c r="B11" s="15" t="s">
        <v>8</v>
      </c>
      <c r="C11" s="15" t="s">
        <v>8</v>
      </c>
      <c r="D11" s="15"/>
      <c r="E11" s="15"/>
      <c r="F11" s="15"/>
    </row>
    <row r="12" spans="1:6" x14ac:dyDescent="0.25">
      <c r="A12" t="s">
        <v>19</v>
      </c>
      <c r="B12" s="15" t="s">
        <v>17</v>
      </c>
      <c r="C12" s="15" t="s">
        <v>17</v>
      </c>
      <c r="D12" s="15"/>
      <c r="E12" s="15"/>
      <c r="F12" s="15"/>
    </row>
    <row r="13" spans="1:6" x14ac:dyDescent="0.25">
      <c r="A13" t="s">
        <v>69</v>
      </c>
      <c r="B13" s="15"/>
      <c r="C13" s="15" t="s">
        <v>3</v>
      </c>
      <c r="D13" s="15"/>
      <c r="E13" s="15"/>
      <c r="F13" s="15" t="s">
        <v>3</v>
      </c>
    </row>
    <row r="14" spans="1:6" x14ac:dyDescent="0.25">
      <c r="A14" t="s">
        <v>46</v>
      </c>
      <c r="B14" s="15"/>
      <c r="C14" s="15"/>
      <c r="D14" s="15"/>
      <c r="E14" s="15"/>
      <c r="F14" s="15"/>
    </row>
    <row r="15" spans="1:6" x14ac:dyDescent="0.25">
      <c r="A15" t="s">
        <v>65</v>
      </c>
      <c r="B15" s="15" t="s">
        <v>82</v>
      </c>
      <c r="C15" s="15" t="s">
        <v>82</v>
      </c>
      <c r="D15" s="15" t="s">
        <v>82</v>
      </c>
      <c r="E15" s="15" t="s">
        <v>82</v>
      </c>
      <c r="F15" s="15" t="s">
        <v>82</v>
      </c>
    </row>
    <row r="16" spans="1:6" x14ac:dyDescent="0.25">
      <c r="A16" t="s">
        <v>40</v>
      </c>
      <c r="B16" s="15" t="s">
        <v>17</v>
      </c>
      <c r="C16" s="15" t="s">
        <v>17</v>
      </c>
      <c r="D16" s="15" t="s">
        <v>135</v>
      </c>
      <c r="E16" s="15" t="s">
        <v>135</v>
      </c>
      <c r="F16" s="15" t="s">
        <v>135</v>
      </c>
    </row>
    <row r="17" spans="1:6" x14ac:dyDescent="0.25">
      <c r="A17" t="s">
        <v>41</v>
      </c>
      <c r="B17" s="15" t="s">
        <v>17</v>
      </c>
      <c r="C17" s="15" t="s">
        <v>17</v>
      </c>
      <c r="D17" s="15" t="s">
        <v>135</v>
      </c>
      <c r="E17" s="15" t="s">
        <v>135</v>
      </c>
      <c r="F17" s="15" t="s">
        <v>135</v>
      </c>
    </row>
    <row r="18" spans="1:6" x14ac:dyDescent="0.25">
      <c r="A18" t="s">
        <v>94</v>
      </c>
      <c r="D18" s="15" t="s">
        <v>17</v>
      </c>
      <c r="E18" s="15"/>
      <c r="F18" s="15" t="s">
        <v>17</v>
      </c>
    </row>
    <row r="19" spans="1:6" x14ac:dyDescent="0.25">
      <c r="A19" t="s">
        <v>44</v>
      </c>
      <c r="B19" s="15" t="s">
        <v>45</v>
      </c>
      <c r="C19" s="15" t="s">
        <v>75</v>
      </c>
      <c r="D19" s="15" t="s">
        <v>132</v>
      </c>
      <c r="E19" s="15" t="s">
        <v>75</v>
      </c>
      <c r="F19" s="15" t="s">
        <v>77</v>
      </c>
    </row>
    <row r="20" spans="1:6" x14ac:dyDescent="0.25">
      <c r="A20" t="s">
        <v>91</v>
      </c>
      <c r="B20" s="15">
        <v>13</v>
      </c>
      <c r="C20" s="15">
        <v>13</v>
      </c>
      <c r="D20" s="15">
        <v>10</v>
      </c>
      <c r="E20" s="15">
        <v>10</v>
      </c>
      <c r="F20" s="15">
        <v>10</v>
      </c>
    </row>
    <row r="21" spans="1:6" x14ac:dyDescent="0.25">
      <c r="A21" t="s">
        <v>89</v>
      </c>
    </row>
    <row r="22" spans="1:6" x14ac:dyDescent="0.25">
      <c r="A22" t="s">
        <v>90</v>
      </c>
    </row>
    <row r="23" spans="1:6" x14ac:dyDescent="0.25">
      <c r="A23" t="s">
        <v>88</v>
      </c>
      <c r="C23" s="15"/>
      <c r="D23" s="15"/>
      <c r="E23" s="15"/>
      <c r="F23" s="15"/>
    </row>
    <row r="24" spans="1:6" x14ac:dyDescent="0.25">
      <c r="A24" t="s">
        <v>92</v>
      </c>
    </row>
    <row r="25" spans="1:6" x14ac:dyDescent="0.25">
      <c r="A25" t="s">
        <v>93</v>
      </c>
    </row>
    <row r="26" spans="1:6" x14ac:dyDescent="0.25">
      <c r="A26" t="s">
        <v>20</v>
      </c>
      <c r="B26" s="16"/>
      <c r="C26" s="16"/>
      <c r="D26" s="16"/>
      <c r="E26" s="16"/>
      <c r="F26" s="16"/>
    </row>
    <row r="27" spans="1:6" x14ac:dyDescent="0.25">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5" x14ac:dyDescent="0.25"/>
  <cols>
    <col min="1" max="1" width="24.28515625" bestFit="1" customWidth="1"/>
  </cols>
  <sheetData>
    <row r="1" spans="1:3" x14ac:dyDescent="0.25">
      <c r="A1" t="s">
        <v>66</v>
      </c>
      <c r="B1">
        <v>130</v>
      </c>
      <c r="C1" t="s">
        <v>112</v>
      </c>
    </row>
    <row r="2" spans="1:3" x14ac:dyDescent="0.25">
      <c r="A2" t="s">
        <v>67</v>
      </c>
      <c r="B2">
        <v>80</v>
      </c>
      <c r="C2" t="s">
        <v>111</v>
      </c>
    </row>
    <row r="3" spans="1:3" x14ac:dyDescent="0.25">
      <c r="A3" t="s">
        <v>68</v>
      </c>
      <c r="B3">
        <v>10</v>
      </c>
      <c r="C3" t="s">
        <v>116</v>
      </c>
    </row>
    <row r="4" spans="1:3" x14ac:dyDescent="0.25">
      <c r="A4" t="s">
        <v>22</v>
      </c>
      <c r="B4">
        <v>1</v>
      </c>
      <c r="C4" t="s">
        <v>113</v>
      </c>
    </row>
    <row r="5" spans="1:3" x14ac:dyDescent="0.25">
      <c r="A5" t="s">
        <v>38</v>
      </c>
      <c r="B5">
        <v>1.2</v>
      </c>
      <c r="C5" t="s">
        <v>114</v>
      </c>
    </row>
    <row r="6" spans="1:3" x14ac:dyDescent="0.25">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7">
      <c r="B4" s="10" t="s">
        <v>27</v>
      </c>
      <c r="C4" s="9"/>
      <c r="D4" s="8"/>
      <c r="E4" s="8"/>
      <c r="F4" s="8"/>
      <c r="G4" s="8"/>
      <c r="H4" s="7"/>
    </row>
    <row r="5" spans="1:8" ht="81" customHeight="1" x14ac:dyDescent="0.7">
      <c r="B5" s="10"/>
      <c r="C5" s="6"/>
      <c r="D5" s="5"/>
      <c r="E5" s="5"/>
      <c r="F5" s="5"/>
      <c r="G5" s="5"/>
      <c r="H5" s="4"/>
    </row>
    <row r="6" spans="1:8" ht="81" customHeight="1" x14ac:dyDescent="0.7">
      <c r="B6" s="10" t="s">
        <v>28</v>
      </c>
      <c r="C6" s="6"/>
      <c r="D6" s="5"/>
      <c r="E6" s="5"/>
      <c r="F6" s="5"/>
      <c r="G6" s="5"/>
      <c r="H6" s="4"/>
    </row>
    <row r="7" spans="1:8" ht="81" customHeight="1" x14ac:dyDescent="0.7">
      <c r="B7" s="10"/>
      <c r="C7" s="6"/>
      <c r="D7" s="5"/>
      <c r="E7" s="5"/>
      <c r="F7" s="5"/>
      <c r="G7" s="5"/>
      <c r="H7" s="4"/>
    </row>
    <row r="8" spans="1:8" ht="92.25" customHeight="1" x14ac:dyDescent="0.7">
      <c r="B8" s="10" t="s">
        <v>29</v>
      </c>
      <c r="C8" s="6"/>
      <c r="D8" s="5"/>
      <c r="E8" s="5"/>
      <c r="F8" s="5"/>
      <c r="G8" s="5"/>
      <c r="H8" s="4"/>
    </row>
    <row r="9" spans="1:8" ht="78.75" customHeight="1" x14ac:dyDescent="0.7">
      <c r="B9" s="10"/>
      <c r="C9" s="6"/>
      <c r="D9" s="5"/>
      <c r="E9" s="5"/>
      <c r="F9" s="5"/>
      <c r="G9" s="5"/>
      <c r="H9" s="4"/>
    </row>
    <row r="10" spans="1:8" ht="78.75" customHeight="1" x14ac:dyDescent="0.7">
      <c r="B10" s="10" t="s">
        <v>64</v>
      </c>
      <c r="C10" s="6"/>
      <c r="D10" s="5"/>
      <c r="E10" s="5"/>
      <c r="F10" s="5"/>
      <c r="G10" s="5"/>
      <c r="H10" s="4"/>
    </row>
    <row r="11" spans="1:8" ht="78.75" customHeight="1" x14ac:dyDescent="0.7">
      <c r="B11" s="10"/>
      <c r="C11" s="6"/>
      <c r="D11" s="5"/>
      <c r="E11" s="5"/>
      <c r="F11" s="5"/>
      <c r="G11" s="5"/>
      <c r="H11" s="4"/>
    </row>
    <row r="12" spans="1:8" ht="78.75" customHeight="1" x14ac:dyDescent="0.7">
      <c r="B12" s="10" t="s">
        <v>62</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72</v>
      </c>
      <c r="D3" s="10" t="s">
        <v>72</v>
      </c>
      <c r="E3" s="10" t="s">
        <v>73</v>
      </c>
      <c r="F3" s="10" t="s">
        <v>73</v>
      </c>
      <c r="G3" s="10" t="s">
        <v>74</v>
      </c>
      <c r="H3" s="10" t="s">
        <v>74</v>
      </c>
    </row>
    <row r="4" spans="1:8" ht="81" customHeight="1" x14ac:dyDescent="0.7">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75">
      <c r="B3" s="10"/>
      <c r="C3" s="10" t="s">
        <v>86</v>
      </c>
      <c r="D3" s="10" t="s">
        <v>84</v>
      </c>
      <c r="E3" s="10" t="s">
        <v>25</v>
      </c>
      <c r="F3" s="10" t="s">
        <v>85</v>
      </c>
      <c r="G3" s="12" t="s">
        <v>26</v>
      </c>
      <c r="H3" s="10" t="s">
        <v>83</v>
      </c>
    </row>
    <row r="4" spans="1:8" ht="97.9" customHeight="1" x14ac:dyDescent="0.7">
      <c r="B4" s="10" t="s">
        <v>72</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73</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74</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86</v>
      </c>
      <c r="D3" s="10" t="s">
        <v>84</v>
      </c>
      <c r="E3" s="10" t="s">
        <v>25</v>
      </c>
      <c r="F3" s="10" t="s">
        <v>85</v>
      </c>
      <c r="G3" s="10" t="s">
        <v>26</v>
      </c>
      <c r="H3" s="10" t="s">
        <v>26</v>
      </c>
    </row>
    <row r="4" spans="1:8" ht="81" customHeight="1" x14ac:dyDescent="0.7">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40625" defaultRowHeight="46.5" x14ac:dyDescent="0.7"/>
  <cols>
    <col min="1" max="1" width="16.28515625" style="21" customWidth="1"/>
    <col min="2" max="2" width="60.28515625" style="20" customWidth="1"/>
    <col min="3"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151</v>
      </c>
      <c r="C2" s="12"/>
      <c r="D2" s="12"/>
      <c r="E2" s="12"/>
      <c r="F2" s="12"/>
      <c r="G2" s="12"/>
      <c r="H2" s="12"/>
      <c r="I2" s="12"/>
      <c r="J2" s="12"/>
      <c r="K2" s="12"/>
      <c r="L2" s="11"/>
      <c r="M2" s="11"/>
      <c r="N2" s="11"/>
    </row>
    <row r="3" spans="1:15" ht="92.25" customHeight="1" thickBot="1" x14ac:dyDescent="0.75">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2021+</v>
      </c>
    </row>
    <row r="4" spans="1:15" ht="97.9" customHeight="1" x14ac:dyDescent="0.7">
      <c r="B4" s="10" t="s">
        <v>27</v>
      </c>
      <c r="C4" s="9"/>
      <c r="D4" s="8"/>
      <c r="E4" s="8"/>
      <c r="F4" s="8"/>
      <c r="G4" s="8"/>
      <c r="H4" s="8"/>
      <c r="I4" s="8"/>
      <c r="J4" s="8"/>
      <c r="K4" s="8"/>
      <c r="L4" s="8"/>
      <c r="M4" s="8"/>
      <c r="N4" s="7"/>
    </row>
    <row r="5" spans="1:15" ht="97.9" customHeight="1" x14ac:dyDescent="0.7">
      <c r="B5" s="10"/>
      <c r="C5" s="6"/>
      <c r="D5" s="5"/>
      <c r="E5" s="5"/>
      <c r="F5" s="5"/>
      <c r="G5" s="5"/>
      <c r="H5" s="5"/>
      <c r="I5" s="5"/>
      <c r="J5" s="5"/>
      <c r="K5" s="5"/>
      <c r="L5" s="5"/>
      <c r="M5" s="5"/>
      <c r="N5" s="4"/>
    </row>
    <row r="6" spans="1:15" ht="97.9" customHeight="1" x14ac:dyDescent="0.7">
      <c r="B6" s="10" t="s">
        <v>28</v>
      </c>
      <c r="C6" s="6"/>
      <c r="D6" s="5"/>
      <c r="E6" s="5"/>
      <c r="F6" s="5"/>
      <c r="G6" s="5"/>
      <c r="H6" s="5"/>
      <c r="I6" s="5"/>
      <c r="J6" s="5"/>
      <c r="K6" s="5"/>
      <c r="L6" s="5"/>
      <c r="M6" s="5"/>
      <c r="N6" s="4"/>
    </row>
    <row r="7" spans="1:15" ht="97.9" customHeight="1" x14ac:dyDescent="0.7">
      <c r="B7" s="10"/>
      <c r="C7" s="6"/>
      <c r="D7" s="5"/>
      <c r="E7" s="5"/>
      <c r="F7" s="5"/>
      <c r="G7" s="5"/>
      <c r="H7" s="5"/>
      <c r="I7" s="5"/>
      <c r="J7" s="5"/>
      <c r="K7" s="5"/>
      <c r="L7" s="5"/>
      <c r="M7" s="5"/>
      <c r="N7" s="4"/>
    </row>
    <row r="8" spans="1:15" ht="97.9" customHeight="1" x14ac:dyDescent="0.7">
      <c r="B8" s="10" t="s">
        <v>29</v>
      </c>
      <c r="C8" s="6"/>
      <c r="D8" s="5"/>
      <c r="E8" s="5"/>
      <c r="F8" s="5"/>
      <c r="G8" s="5"/>
      <c r="H8" s="5"/>
      <c r="I8" s="5"/>
      <c r="J8" s="5"/>
      <c r="K8" s="5"/>
      <c r="L8" s="5"/>
      <c r="M8" s="5"/>
      <c r="N8" s="4"/>
    </row>
    <row r="9" spans="1:15" ht="97.9" customHeight="1" x14ac:dyDescent="0.7">
      <c r="B9" s="10"/>
      <c r="C9" s="6"/>
      <c r="D9" s="5"/>
      <c r="E9" s="5"/>
      <c r="F9" s="5"/>
      <c r="G9" s="5"/>
      <c r="H9" s="5"/>
      <c r="I9" s="5"/>
      <c r="J9" s="5"/>
      <c r="K9" s="5"/>
      <c r="L9" s="5"/>
      <c r="M9" s="5"/>
      <c r="N9" s="4"/>
    </row>
    <row r="10" spans="1:15" ht="97.9" customHeight="1" x14ac:dyDescent="0.7">
      <c r="B10" s="10" t="s">
        <v>64</v>
      </c>
      <c r="C10" s="6"/>
      <c r="D10" s="5"/>
      <c r="E10" s="5"/>
      <c r="F10" s="5"/>
      <c r="G10" s="5"/>
      <c r="H10" s="5"/>
      <c r="I10" s="5"/>
      <c r="J10" s="5"/>
      <c r="K10" s="5"/>
      <c r="L10" s="5"/>
      <c r="M10" s="5"/>
      <c r="N10" s="4"/>
    </row>
    <row r="11" spans="1:15" ht="97.9" customHeight="1" x14ac:dyDescent="0.7">
      <c r="B11" s="10"/>
      <c r="C11" s="6"/>
      <c r="D11" s="5"/>
      <c r="E11" s="5"/>
      <c r="F11" s="5"/>
      <c r="G11" s="5"/>
      <c r="H11" s="5"/>
      <c r="I11" s="5"/>
      <c r="J11" s="5"/>
      <c r="K11" s="5"/>
      <c r="L11" s="5"/>
      <c r="M11" s="5"/>
      <c r="N11" s="4"/>
    </row>
    <row r="12" spans="1:15" ht="97.9" customHeight="1" x14ac:dyDescent="0.7">
      <c r="B12" s="10" t="s">
        <v>62</v>
      </c>
      <c r="C12" s="6"/>
      <c r="D12" s="5"/>
      <c r="E12" s="5"/>
      <c r="F12" s="5"/>
      <c r="G12" s="5"/>
      <c r="H12" s="5"/>
      <c r="I12" s="5"/>
      <c r="J12" s="5"/>
      <c r="K12" s="5"/>
      <c r="L12" s="5"/>
      <c r="M12" s="5"/>
      <c r="N12" s="4"/>
    </row>
    <row r="13" spans="1:15" ht="97.9" customHeight="1" thickBot="1" x14ac:dyDescent="0.75">
      <c r="B13" s="10"/>
      <c r="C13" s="3"/>
      <c r="D13" s="2"/>
      <c r="E13" s="2"/>
      <c r="F13" s="2"/>
      <c r="G13" s="2"/>
      <c r="H13" s="2"/>
      <c r="I13" s="2"/>
      <c r="J13" s="2"/>
      <c r="K13" s="2"/>
      <c r="L13" s="2"/>
      <c r="M13" s="2"/>
      <c r="N13" s="1"/>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40625" defaultRowHeight="46.5" x14ac:dyDescent="0.7"/>
  <cols>
    <col min="1" max="1" width="16.28515625" style="21" customWidth="1"/>
    <col min="2" max="2" width="60.28515625" style="20" customWidth="1"/>
    <col min="3" max="3" width="54.140625" style="20" customWidth="1"/>
    <col min="4"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7">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 customHeight="1" x14ac:dyDescent="0.7">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 customHeight="1" x14ac:dyDescent="0.7">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 customHeight="1" x14ac:dyDescent="0.7">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 customHeight="1" x14ac:dyDescent="0.7">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 customHeight="1" x14ac:dyDescent="0.7">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 customHeight="1" x14ac:dyDescent="0.7">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 customHeight="1" x14ac:dyDescent="0.7">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 customHeight="1" x14ac:dyDescent="0.7">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 customHeight="1" x14ac:dyDescent="0.7">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 customHeight="1" x14ac:dyDescent="0.7">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zoomScaleNormal="100" workbookViewId="0"/>
  </sheetViews>
  <sheetFormatPr defaultColWidth="23.140625" defaultRowHeight="23.45" customHeight="1" x14ac:dyDescent="0.25"/>
  <cols>
    <col min="1" max="1" width="30.85546875" style="25" customWidth="1"/>
    <col min="2" max="6" width="27.7109375" style="25" customWidth="1"/>
    <col min="7" max="16384" width="23.140625" style="25"/>
  </cols>
  <sheetData>
    <row r="1" spans="1:6" ht="13.9" customHeight="1" x14ac:dyDescent="0.25">
      <c r="A1" s="36" t="s">
        <v>150</v>
      </c>
      <c r="B1" s="35"/>
      <c r="C1" s="34"/>
      <c r="D1" s="35"/>
      <c r="E1" s="34"/>
      <c r="F1" s="35"/>
    </row>
    <row r="2" spans="1:6" ht="13.9" customHeight="1" x14ac:dyDescent="0.25">
      <c r="A2" s="30"/>
      <c r="B2" s="31"/>
      <c r="C2" s="30"/>
      <c r="D2" s="31"/>
      <c r="E2" s="30"/>
      <c r="F2" s="31"/>
    </row>
    <row r="3" spans="1:6" ht="13.9" customHeight="1" x14ac:dyDescent="0.25">
      <c r="A3" s="30"/>
      <c r="B3" s="31"/>
      <c r="C3" s="30"/>
      <c r="D3" s="31"/>
      <c r="E3" s="30"/>
      <c r="F3" s="31"/>
    </row>
    <row r="4" spans="1:6" ht="13.9" customHeight="1" x14ac:dyDescent="0.25">
      <c r="A4" s="30"/>
      <c r="B4" s="31"/>
      <c r="C4" s="30"/>
      <c r="D4" s="31"/>
      <c r="E4" s="30"/>
      <c r="F4" s="31"/>
    </row>
    <row r="5" spans="1:6" ht="13.9" customHeight="1" x14ac:dyDescent="0.25">
      <c r="A5" s="30"/>
      <c r="B5" s="31"/>
      <c r="C5" s="30"/>
      <c r="D5" s="31"/>
      <c r="E5" s="30"/>
      <c r="F5" s="31"/>
    </row>
    <row r="6" spans="1:6" ht="13.9" customHeight="1" x14ac:dyDescent="0.25">
      <c r="A6" s="30"/>
      <c r="B6" s="31"/>
      <c r="C6" s="30"/>
      <c r="D6" s="31"/>
      <c r="E6" s="30"/>
      <c r="F6" s="31"/>
    </row>
    <row r="7" spans="1:6" ht="90.6" customHeight="1" x14ac:dyDescent="0.25">
      <c r="A7" s="30"/>
      <c r="B7" s="31"/>
      <c r="C7" s="30"/>
      <c r="D7" s="31"/>
      <c r="E7" s="30"/>
      <c r="F7" s="31"/>
    </row>
    <row r="8" spans="1:6" ht="92.45" customHeight="1" x14ac:dyDescent="0.25">
      <c r="A8" s="30"/>
      <c r="B8" s="31"/>
      <c r="C8" s="30"/>
      <c r="D8" s="31"/>
      <c r="E8" s="30"/>
      <c r="F8" s="31"/>
    </row>
    <row r="9" spans="1:6" ht="85.15" customHeight="1" x14ac:dyDescent="0.25">
      <c r="A9" s="30"/>
      <c r="B9" s="31"/>
      <c r="C9" s="30"/>
      <c r="D9" s="31"/>
      <c r="E9" s="30"/>
      <c r="F9" s="31"/>
    </row>
    <row r="10" spans="1:6" ht="85.15" customHeight="1" x14ac:dyDescent="0.25">
      <c r="A10" s="32"/>
      <c r="B10" s="33"/>
      <c r="C10" s="32"/>
      <c r="D10" s="33"/>
      <c r="E10" s="32"/>
      <c r="F10" s="33"/>
    </row>
    <row r="11" spans="1:6" ht="15.6" customHeight="1" x14ac:dyDescent="0.25">
      <c r="A11" s="27"/>
      <c r="B11" s="27"/>
      <c r="C11" s="27"/>
      <c r="D11" s="27"/>
      <c r="E11" s="27"/>
      <c r="F11" s="27"/>
    </row>
    <row r="12" spans="1:6" ht="107.45" customHeight="1" x14ac:dyDescent="0.25">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ColWidth="8.85546875" defaultRowHeight="15" x14ac:dyDescent="0.25"/>
  <cols>
    <col min="1" max="6" width="28.28515625" style="29" customWidth="1"/>
    <col min="7" max="16384" width="8.85546875" style="29"/>
  </cols>
  <sheetData>
    <row r="7" spans="1:6" x14ac:dyDescent="0.25">
      <c r="A7" s="26" t="s">
        <v>9</v>
      </c>
      <c r="B7" s="26" t="s">
        <v>9</v>
      </c>
      <c r="C7" s="26" t="s">
        <v>37</v>
      </c>
      <c r="D7" s="26" t="s">
        <v>37</v>
      </c>
      <c r="E7" s="26" t="s">
        <v>32</v>
      </c>
      <c r="F7" s="26" t="s">
        <v>32</v>
      </c>
    </row>
    <row r="8" spans="1:6" x14ac:dyDescent="0.25">
      <c r="A8" s="26" t="s">
        <v>9</v>
      </c>
      <c r="B8" s="26" t="s">
        <v>9</v>
      </c>
      <c r="C8" s="26" t="s">
        <v>37</v>
      </c>
      <c r="D8" s="26" t="s">
        <v>37</v>
      </c>
      <c r="E8" s="26" t="s">
        <v>32</v>
      </c>
      <c r="F8" s="26" t="s">
        <v>32</v>
      </c>
    </row>
    <row r="9" spans="1:6" x14ac:dyDescent="0.25">
      <c r="A9" s="26" t="s">
        <v>9</v>
      </c>
      <c r="B9" s="26" t="s">
        <v>9</v>
      </c>
      <c r="C9" s="26" t="s">
        <v>37</v>
      </c>
      <c r="D9" s="26" t="s">
        <v>37</v>
      </c>
      <c r="E9" s="26" t="s">
        <v>32</v>
      </c>
      <c r="F9" s="26" t="s">
        <v>32</v>
      </c>
    </row>
    <row r="10" spans="1:6" x14ac:dyDescent="0.25">
      <c r="A10" s="26" t="s">
        <v>9</v>
      </c>
      <c r="B10" s="26" t="s">
        <v>9</v>
      </c>
      <c r="C10" s="26" t="s">
        <v>37</v>
      </c>
      <c r="D10" s="26" t="s">
        <v>37</v>
      </c>
      <c r="E10" s="26" t="s">
        <v>32</v>
      </c>
      <c r="F10" s="26" t="s">
        <v>32</v>
      </c>
    </row>
    <row r="11" spans="1:6" x14ac:dyDescent="0.25">
      <c r="A11" s="27"/>
      <c r="B11" s="27"/>
      <c r="C11" s="27"/>
      <c r="D11" s="27"/>
      <c r="E11" s="27"/>
      <c r="F11" s="27"/>
    </row>
    <row r="12" spans="1:6" x14ac:dyDescent="0.25">
      <c r="A12" s="27" t="s">
        <v>147</v>
      </c>
      <c r="B12" s="27" t="s">
        <v>147</v>
      </c>
      <c r="C12" s="27" t="s">
        <v>147</v>
      </c>
      <c r="D12" s="27" t="s">
        <v>144</v>
      </c>
      <c r="E12" s="27" t="s">
        <v>144</v>
      </c>
      <c r="F12" s="27" t="s">
        <v>144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32</v>
      </c>
      <c r="B1" s="15" t="s">
        <v>37</v>
      </c>
      <c r="C1" s="15" t="s">
        <v>9</v>
      </c>
      <c r="E1" s="15" t="s">
        <v>27</v>
      </c>
      <c r="F1" s="15" t="s">
        <v>49</v>
      </c>
      <c r="G1" s="15" t="s">
        <v>50</v>
      </c>
      <c r="H1" s="15" t="s">
        <v>51</v>
      </c>
      <c r="I1" s="15" t="s">
        <v>63</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2020-05-24T14:28:26Z</dcterms:modified>
</cp:coreProperties>
</file>