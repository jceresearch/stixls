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showInkAnnotation="0" codeName="ThisWorkbook" defaultThemeVersion="166925"/>
  <mc:AlternateContent xmlns:mc="http://schemas.openxmlformats.org/markup-compatibility/2006">
    <mc:Choice Requires="x15">
      <x15ac:absPath xmlns:x15ac="http://schemas.microsoft.com/office/spreadsheetml/2010/11/ac" url="C:\Users\User\git\stixls\stixlsLight\"/>
    </mc:Choice>
  </mc:AlternateContent>
  <xr:revisionPtr revIDLastSave="0" documentId="13_ncr:1_{63DA45ED-071C-4114-850A-6AE961511E69}" xr6:coauthVersionLast="45" xr6:coauthVersionMax="45" xr10:uidLastSave="{00000000-0000-0000-0000-000000000000}"/>
  <bookViews>
    <workbookView xWindow="-120" yWindow="-120" windowWidth="29040" windowHeight="15840" tabRatio="803" xr2:uid="{00000000-000D-0000-FFFF-FFFF00000000}"/>
  </bookViews>
  <sheets>
    <sheet name="Board" sheetId="49" r:id="rId1"/>
    <sheet name="Data" sheetId="50" r:id="rId2"/>
    <sheet name="AppConfig" sheetId="52" r:id="rId3"/>
    <sheet name="DataConfig" sheetId="60" r:id="rId4"/>
    <sheet name="LayoutConfig" sheetId="61" r:id="rId5"/>
    <sheet name="BoardConfig" sheetId="59" r:id="rId6"/>
    <sheet name="Template1" sheetId="63" r:id="rId7"/>
    <sheet name="Template1Data" sheetId="64" r:id="rId8"/>
    <sheet name="DataXY" sheetId="51" r:id="rId9"/>
  </sheets>
  <functionGroups builtInGroupCount="19"/>
  <definedNames>
    <definedName name="_xlnm._FilterDatabase" localSheetId="1" hidden="1">Data!$A$1:$Q$19</definedName>
    <definedName name="Template1">Template1!$C$4:$H$13</definedName>
    <definedName name="Template1Data">Template1Data!$C$4:$H$13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3" i="50" l="1"/>
  <c r="Q4" i="50"/>
  <c r="Q5" i="50"/>
  <c r="Q6" i="50"/>
  <c r="Q7" i="50"/>
  <c r="Q8" i="50"/>
  <c r="Q9" i="50"/>
  <c r="Q10" i="50"/>
  <c r="Q11" i="50"/>
  <c r="Q12" i="50"/>
  <c r="Q13" i="50"/>
  <c r="Q14" i="50"/>
  <c r="Q15" i="50"/>
  <c r="Q16" i="50"/>
  <c r="Q17" i="50"/>
  <c r="Q18" i="50"/>
  <c r="Q19" i="50"/>
  <c r="Q2" i="50"/>
  <c r="I19" i="50" l="1"/>
  <c r="I10" i="50"/>
  <c r="I2" i="50"/>
  <c r="J2" i="50" s="1"/>
  <c r="I3" i="50" s="1"/>
  <c r="E19" i="50"/>
  <c r="P19" i="50" s="1"/>
  <c r="N19" i="50"/>
  <c r="O19" i="50"/>
  <c r="E18" i="50"/>
  <c r="P18" i="50" s="1"/>
  <c r="N18" i="50"/>
  <c r="O18" i="50"/>
  <c r="E9" i="50"/>
  <c r="P9" i="50" s="1"/>
  <c r="N9" i="50"/>
  <c r="O9" i="50"/>
  <c r="E2" i="50"/>
  <c r="P2" i="50" s="1"/>
  <c r="N2" i="50"/>
  <c r="O2" i="50"/>
  <c r="E12" i="50"/>
  <c r="P12" i="50" s="1"/>
  <c r="N12" i="50"/>
  <c r="O12" i="50"/>
  <c r="E6" i="50"/>
  <c r="P6" i="50" s="1"/>
  <c r="N6" i="50"/>
  <c r="O6" i="50"/>
  <c r="E16" i="50"/>
  <c r="P16" i="50" s="1"/>
  <c r="N16" i="50"/>
  <c r="O16" i="50"/>
  <c r="E15" i="50"/>
  <c r="P15" i="50" s="1"/>
  <c r="N15" i="50"/>
  <c r="O15" i="50"/>
  <c r="E17" i="50"/>
  <c r="P17" i="50" s="1"/>
  <c r="N17" i="50"/>
  <c r="O17" i="50"/>
  <c r="E4" i="50" l="1"/>
  <c r="P4" i="50" s="1"/>
  <c r="E10" i="50"/>
  <c r="P10" i="50" s="1"/>
  <c r="E5" i="50"/>
  <c r="P5" i="50" s="1"/>
  <c r="E7" i="50"/>
  <c r="P7" i="50" s="1"/>
  <c r="E13" i="50"/>
  <c r="P13" i="50" s="1"/>
  <c r="E14" i="50"/>
  <c r="P14" i="50" s="1"/>
  <c r="E8" i="50"/>
  <c r="P8" i="50" s="1"/>
  <c r="E11" i="50"/>
  <c r="P11" i="50" s="1"/>
  <c r="E3" i="50"/>
  <c r="P3" i="50" s="1"/>
  <c r="O4" i="50" l="1"/>
  <c r="O10" i="50"/>
  <c r="O5" i="50"/>
  <c r="O7" i="50"/>
  <c r="O13" i="50"/>
  <c r="O14" i="50"/>
  <c r="O8" i="50"/>
  <c r="O11" i="50"/>
  <c r="O3" i="50"/>
  <c r="A5" i="64" l="1"/>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N11" i="50"/>
  <c r="N8" i="50"/>
  <c r="N14" i="50"/>
  <c r="N13" i="50"/>
  <c r="N7" i="50"/>
  <c r="N5" i="50"/>
  <c r="N10" i="50"/>
  <c r="N4" i="50"/>
  <c r="N3" i="50"/>
  <c r="K2" i="50" l="1"/>
  <c r="K3" i="50" l="1"/>
  <c r="J3" i="50"/>
  <c r="I4" i="50" s="1"/>
  <c r="L2" i="50"/>
  <c r="L3" i="50" l="1"/>
  <c r="K10" i="50" l="1"/>
  <c r="J10" i="50"/>
  <c r="I11" i="50" s="1"/>
  <c r="L10" i="50" l="1"/>
  <c r="K11" i="50" l="1"/>
  <c r="J11" i="50"/>
  <c r="I12" i="50" s="1"/>
  <c r="L11" i="50" l="1"/>
  <c r="K12" i="50" l="1"/>
  <c r="J12" i="50"/>
  <c r="I13" i="50" s="1"/>
  <c r="J13" i="50" l="1"/>
  <c r="K13" i="50"/>
  <c r="L12" i="50"/>
  <c r="I14" i="50" l="1"/>
  <c r="L13" i="50"/>
  <c r="J14" i="50" l="1"/>
  <c r="I15" i="50" s="1"/>
  <c r="K14" i="50"/>
  <c r="K15" i="50" l="1"/>
  <c r="J15" i="50"/>
  <c r="L14" i="50"/>
  <c r="I16" i="50" l="1"/>
  <c r="L15" i="50"/>
  <c r="K19" i="50"/>
  <c r="J19" i="50"/>
  <c r="K16" i="50" l="1"/>
  <c r="J16" i="50"/>
  <c r="L19" i="50"/>
  <c r="I17" i="50" l="1"/>
  <c r="L16" i="50"/>
  <c r="K17" i="50" l="1"/>
  <c r="J17" i="50"/>
  <c r="I18" i="50" s="1"/>
  <c r="K18" i="50" l="1"/>
  <c r="J18" i="50"/>
  <c r="L18" i="50" s="1"/>
  <c r="L17" i="50"/>
  <c r="K4" i="50" l="1"/>
  <c r="J4" i="50"/>
  <c r="L4" i="50" s="1"/>
  <c r="I5" i="50" l="1"/>
  <c r="J5" i="50" s="1"/>
  <c r="I6" i="50" s="1"/>
  <c r="L5" i="50" l="1"/>
  <c r="K5" i="50"/>
  <c r="K6" i="50"/>
  <c r="J6" i="50"/>
  <c r="L6" i="50" l="1"/>
  <c r="I7" i="50"/>
  <c r="K7" i="50" l="1"/>
  <c r="J7" i="50"/>
  <c r="L7" i="50" l="1"/>
  <c r="I8" i="50"/>
  <c r="K8" i="50" l="1"/>
  <c r="J8" i="50"/>
  <c r="L8" i="50" l="1"/>
  <c r="I9" i="50"/>
  <c r="J9" i="50" l="1"/>
  <c r="L9" i="50" s="1"/>
  <c r="K9"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juan espasandin</author>
    <author>espasanj</author>
  </authors>
  <commentList>
    <comment ref="A7" authorId="0" shapeId="0" xr:uid="{00000000-0006-0000-0400-000001000000}">
      <text>
        <r>
          <rPr>
            <b/>
            <sz val="9"/>
            <color indexed="81"/>
            <rFont val="Tahoma"/>
            <family val="2"/>
          </rPr>
          <t>Column to be used for the note text field. If invalid the app_default_ShapeTextField value will be used</t>
        </r>
      </text>
    </comment>
    <comment ref="A16" authorId="1" shapeId="0" xr:uid="{00000000-0006-0000-0400-000002000000}">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7" authorId="0" shapeId="0" xr:uid="{00000000-0006-0000-0400-000003000000}">
      <text>
        <r>
          <rPr>
            <b/>
            <sz val="9"/>
            <color indexed="81"/>
            <rFont val="Tahoma"/>
            <family val="2"/>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5" authorId="0" shapeId="0" xr:uid="{00000000-0006-0000-0400-000004000000}">
      <text>
        <r>
          <rPr>
            <b/>
            <sz val="9"/>
            <color indexed="81"/>
            <rFont val="Tahoma"/>
            <family val="2"/>
          </rPr>
          <t>Read only, will save here the last save 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Espasandin</author>
  </authors>
  <commentList>
    <comment ref="A6" authorId="0" shapeId="0" xr:uid="{00000000-0006-0000-0500-00000100000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<sst xmlns="http://schemas.openxmlformats.org/spreadsheetml/2006/main" count="228" uniqueCount="123">
  <si>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</si>
  <si>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</si>
  <si>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</si>
  <si>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</si>
  <si>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</si>
  <si>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</si>
  <si>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</si>
  <si>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</si>
  <si>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</si>
  <si>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</si>
  <si>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</si>
  <si>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</si>
  <si>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</si>
  <si>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</si>
  <si>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</si>
  <si>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</si>
  <si>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</si>
  <si>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</si>
  <si>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</si>
  <si>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</si>
  <si>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</si>
  <si>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</si>
  <si>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</si>
  <si>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</si>
  <si>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IN PROGRESS</t>
  </si>
  <si>
    <t>COMPLETED</t>
  </si>
  <si>
    <t>ANNA</t>
  </si>
  <si>
    <t>BOB</t>
  </si>
  <si>
    <t>CHARLES</t>
  </si>
  <si>
    <t>Template1</t>
  </si>
  <si>
    <t>SHID</t>
  </si>
  <si>
    <t>Title_Field</t>
  </si>
  <si>
    <t>Notes_Field</t>
  </si>
  <si>
    <t>Notes</t>
  </si>
  <si>
    <t>app_version</t>
  </si>
  <si>
    <t>Amber</t>
  </si>
  <si>
    <t>board_version</t>
  </si>
  <si>
    <t>SHTEXT</t>
  </si>
  <si>
    <t>UpdateDatafromText</t>
  </si>
  <si>
    <t>UpdateDataFromPosition</t>
  </si>
  <si>
    <t xml:space="preserve"> </t>
  </si>
  <si>
    <t>LayoutAutoArrange</t>
  </si>
  <si>
    <t>Layout1AutoArrange</t>
  </si>
  <si>
    <t>ResizeField</t>
  </si>
  <si>
    <t>This is where the macro saves the first line of the note (minus the first word, understood to be the reference)</t>
  </si>
  <si>
    <t>Requirement gathering</t>
  </si>
  <si>
    <t>Proof of concept</t>
  </si>
  <si>
    <t>PID and Business case formally approved</t>
  </si>
  <si>
    <t>First MVP</t>
  </si>
  <si>
    <t>UAT activities</t>
  </si>
  <si>
    <t>Focus groups</t>
  </si>
  <si>
    <t>UX and Branding</t>
  </si>
  <si>
    <t>Backend and Devops</t>
  </si>
  <si>
    <t>Release 1</t>
  </si>
  <si>
    <t>Release 2</t>
  </si>
  <si>
    <t>YODA</t>
  </si>
  <si>
    <t>NewNoteAnchor</t>
  </si>
  <si>
    <t>default_note_width</t>
  </si>
  <si>
    <t>default_note_height</t>
  </si>
  <si>
    <t>default_note_font_size</t>
  </si>
  <si>
    <t>Product A</t>
  </si>
  <si>
    <t>Product B</t>
  </si>
  <si>
    <t>Product C</t>
  </si>
  <si>
    <t>Product</t>
  </si>
  <si>
    <t>NoteRAG</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</si>
  <si>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</si>
  <si>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</si>
  <si>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</si>
  <si>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</si>
  <si>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</si>
  <si>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</si>
  <si>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</si>
  <si>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</si>
  <si>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</si>
  <si>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</si>
  <si>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</si>
  <si>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</si>
  <si>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</si>
  <si>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</si>
  <si>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</si>
  <si>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</si>
  <si>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</si>
  <si>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</si>
  <si>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</si>
  <si>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</si>
  <si>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</si>
  <si>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</si>
  <si>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</si>
  <si>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</si>
  <si>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</si>
  <si>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</si>
  <si>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</si>
  <si>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</si>
  <si>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</si>
  <si>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</si>
  <si>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</si>
  <si>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</si>
  <si>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</si>
  <si>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</si>
  <si>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</si>
  <si>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Default font size, if there is no value in the equivalent value for each layout</t>
  </si>
  <si>
    <t>Month</t>
  </si>
  <si>
    <t>Priority</t>
  </si>
  <si>
    <t>Release 3</t>
  </si>
  <si>
    <t>User Stories</t>
  </si>
  <si>
    <t>Security Testing</t>
  </si>
  <si>
    <t>Signed off by Customer Services</t>
  </si>
  <si>
    <t>Pending Publishing Strategy</t>
  </si>
  <si>
    <t>RED</t>
  </si>
  <si>
    <t>c:\temp</t>
  </si>
  <si>
    <t>Ref_Field</t>
  </si>
  <si>
    <t>This is where the macro saves anything that is not parsed</t>
  </si>
  <si>
    <t>Shid_Field</t>
  </si>
  <si>
    <t>This is where the macro stores the id of the shape</t>
  </si>
  <si>
    <t>This is the unique identified for the data records, it is different from shapes as those could need to get deleted/recreated</t>
  </si>
  <si>
    <t>app_ref_field</t>
  </si>
  <si>
    <t>app_shid_field</t>
  </si>
  <si>
    <t>default_size_step</t>
  </si>
  <si>
    <t>size_factor</t>
  </si>
  <si>
    <t>When using labels for sizing notes, the step would be applied to create the difference between Small/Medium/Large</t>
  </si>
  <si>
    <t>convenient way to resize the notes by a factor for printing or layout</t>
  </si>
  <si>
    <t>Board20200525100622.xlsx</t>
  </si>
  <si>
    <t>C:\temp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</si>
</sst>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s>
  <fills count="2">
    <fill>
      <patternFill patternType="none"/>
    </fill>
    <fill>
      <patternFill patternType="gray125"/>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24">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cellXfs>
  <cellStyles count="2">
    <cellStyle name="Normal" xfId="0" builtinId="0"/>
    <cellStyle name="Normal 2" xfId="1" xr:uid="{00000000-0005-0000-0000-000001000000}"/>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H7:H8"/>
  <sheetViews>
    <sheetView showGridLines="0" tabSelected="1" zoomScale="25" zoomScaleNormal="25" workbookViewId="0">
      <selection activeCell="AV109" sqref="AV109"/>
    </sheetView>
  </sheetViews>
  <sheetFormatPr defaultColWidth="9.140625" defaultRowHeight="15" x14ac:dyDescent="0.25"/>
  <cols>
    <col min="1" max="6" width="9.140625" style="14"/>
    <col min="7" max="7" width="11.7109375" style="14" customWidth="1"/>
    <col min="8" max="16384" width="9.140625" style="14"/>
  </cols>
  <sheetData>
    <row r="7" spans="8:8" x14ac:dyDescent="0.25">
      <c r="H7" s="22"/>
    </row>
    <row r="8" spans="8:8" x14ac:dyDescent="0.25">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Q19"/>
  <sheetViews>
    <sheetView zoomScale="85" zoomScaleNormal="85" workbookViewId="0">
      <selection activeCell="G2" sqref="G2:G19"/>
    </sheetView>
  </sheetViews>
  <sheetFormatPr defaultRowHeight="15" x14ac:dyDescent="0.25"/>
  <cols>
    <col min="1" max="1" width="6.5703125" customWidth="1"/>
    <col min="2" max="2" width="3.7109375" bestFit="1" customWidth="1"/>
    <col min="3" max="3" width="16.140625" customWidth="1"/>
    <col min="4" max="4" width="9.7109375" bestFit="1" customWidth="1"/>
    <col min="5" max="5" width="9.7109375" customWidth="1"/>
    <col min="6" max="6" width="10.140625" bestFit="1" customWidth="1"/>
    <col min="7" max="7" width="10.42578125" bestFit="1" customWidth="1"/>
    <col min="8" max="8" width="9.42578125" bestFit="1" customWidth="1"/>
    <col min="9" max="10" width="10.85546875" bestFit="1" customWidth="1"/>
    <col min="11" max="11" width="10.85546875" customWidth="1"/>
    <col min="12" max="12" width="7.85546875" bestFit="1" customWidth="1"/>
    <col min="13" max="13" width="25.140625" customWidth="1"/>
    <col min="14" max="14" width="26.140625" customWidth="1"/>
    <col min="15" max="15" width="42.42578125" customWidth="1"/>
    <col min="16" max="16" width="13.42578125" bestFit="1" customWidth="1"/>
  </cols>
  <sheetData>
    <row r="1" spans="1:17" x14ac:dyDescent="0.25">
      <c r="A1" t="s">
        <v>30</v>
      </c>
      <c r="B1" t="s">
        <v>1</v>
      </c>
      <c r="C1" t="s">
        <v>2</v>
      </c>
      <c r="D1" t="s">
        <v>63</v>
      </c>
      <c r="E1" t="s">
        <v>102</v>
      </c>
      <c r="F1" t="s">
        <v>3</v>
      </c>
      <c r="G1" t="s">
        <v>6</v>
      </c>
      <c r="H1" t="s">
        <v>7</v>
      </c>
      <c r="I1" t="s">
        <v>4</v>
      </c>
      <c r="J1" t="s">
        <v>5</v>
      </c>
      <c r="K1" t="s">
        <v>101</v>
      </c>
      <c r="L1" t="s">
        <v>8</v>
      </c>
      <c r="M1" t="s">
        <v>33</v>
      </c>
      <c r="N1" t="s">
        <v>37</v>
      </c>
      <c r="O1" t="s">
        <v>42</v>
      </c>
      <c r="P1" t="s">
        <v>15</v>
      </c>
      <c r="Q1" t="s">
        <v>64</v>
      </c>
    </row>
    <row r="2" spans="1:17" x14ac:dyDescent="0.25">
      <c r="B2">
        <v>1</v>
      </c>
      <c r="C2" t="s">
        <v>47</v>
      </c>
      <c r="D2" t="s">
        <v>60</v>
      </c>
      <c r="E2">
        <f t="shared" ref="E2:E19" ca="1" si="0">RANDBETWEEN(1,5)</f>
        <v>2</v>
      </c>
      <c r="F2" t="s">
        <v>55</v>
      </c>
      <c r="G2" t="s">
        <v>25</v>
      </c>
      <c r="H2" t="s">
        <v>9</v>
      </c>
      <c r="I2" s="18">
        <f ca="1">DATE(YEAR(NOW()),1,1)</f>
        <v>43831</v>
      </c>
      <c r="J2" s="18">
        <f ca="1">I2+ROUND(RANDBETWEEN(1,30),0)</f>
        <v>43855</v>
      </c>
      <c r="K2" s="18" t="str">
        <f t="shared" ref="K2:K19" ca="1" si="1">IF(YEAR($I2)&lt;&gt;YEAR(NOW()),"Other",TEXT($I2,"MMMM"))</f>
        <v>January</v>
      </c>
      <c r="L2" t="str">
        <f t="shared" ref="L2:L19" ca="1" si="2">IF(AND(J2&lt;NOW(),G2&lt;&gt;"COMPLETED"),"Yes","No")</f>
        <v>No</v>
      </c>
      <c r="N2" t="str">
        <f t="shared" ref="N2:N19" si="3">B2&amp;" "&amp;C2&amp;CHAR(10)&amp;M2</f>
        <v xml:space="preserve">1 PID and Business case formally approved
</v>
      </c>
      <c r="O2" t="str">
        <f t="shared" ref="O2:O19" si="4">"Product:"&amp;$D2&amp;CHAR(10) &amp;"Stage:"&amp;$G2</f>
        <v>Product:Product A
Stage:COMPLETED</v>
      </c>
      <c r="P2" t="str">
        <f ca="1">IF($E2&lt;=3,"Visible","Hidden")</f>
        <v>Visible</v>
      </c>
      <c r="Q2" t="str">
        <f>IF(UPPER(G2)="PIPELINE","DEFAULT",IF(UPPER(G2)="COMPLETED","BLUE",H2))</f>
        <v>BLUE</v>
      </c>
    </row>
    <row r="3" spans="1:17" x14ac:dyDescent="0.25">
      <c r="B3">
        <v>2</v>
      </c>
      <c r="C3" t="s">
        <v>104</v>
      </c>
      <c r="D3" t="s">
        <v>60</v>
      </c>
      <c r="E3">
        <f t="shared" ca="1" si="0"/>
        <v>2</v>
      </c>
      <c r="F3" t="s">
        <v>26</v>
      </c>
      <c r="G3" t="s">
        <v>25</v>
      </c>
      <c r="H3" t="s">
        <v>9</v>
      </c>
      <c r="I3" s="18">
        <f t="shared" ref="I3:I9" ca="1" si="5">J2</f>
        <v>43855</v>
      </c>
      <c r="J3" s="18">
        <f t="shared" ref="J3:J19" ca="1" si="6">I3+ROUND(RANDBETWEEN(1,60),0)</f>
        <v>43893</v>
      </c>
      <c r="K3" s="18" t="str">
        <f t="shared" ca="1" si="1"/>
        <v>January</v>
      </c>
      <c r="L3" t="str">
        <f t="shared" ca="1" si="2"/>
        <v>No</v>
      </c>
      <c r="M3" t="s">
        <v>106</v>
      </c>
      <c r="N3" t="str">
        <f t="shared" si="3"/>
        <v>2 User Stories
Signed off by Customer Services</v>
      </c>
      <c r="O3" t="str">
        <f t="shared" si="4"/>
        <v>Product:Product A
Stage:COMPLETED</v>
      </c>
      <c r="P3" t="str">
        <f t="shared" ref="P3:P19" ca="1" si="7">IF($E3&lt;=3,"Visible","Hidden")</f>
        <v>Visible</v>
      </c>
      <c r="Q3" t="str">
        <f t="shared" ref="Q3:Q19" si="8">IF(UPPER(G3)="PIPELINE","DEFAULT",IF(UPPER(G3)="COMPLETED","BLUE",H3))</f>
        <v>BLUE</v>
      </c>
    </row>
    <row r="4" spans="1:17" x14ac:dyDescent="0.25">
      <c r="B4">
        <v>3</v>
      </c>
      <c r="C4" t="s">
        <v>46</v>
      </c>
      <c r="D4" t="s">
        <v>60</v>
      </c>
      <c r="E4">
        <f t="shared" ca="1" si="0"/>
        <v>2</v>
      </c>
      <c r="F4" t="s">
        <v>27</v>
      </c>
      <c r="G4" t="s">
        <v>24</v>
      </c>
      <c r="H4" t="s">
        <v>35</v>
      </c>
      <c r="I4" s="18">
        <f t="shared" ca="1" si="5"/>
        <v>43893</v>
      </c>
      <c r="J4" s="18">
        <f t="shared" ca="1" si="6"/>
        <v>43948</v>
      </c>
      <c r="K4" s="18" t="str">
        <f t="shared" ca="1" si="1"/>
        <v>March</v>
      </c>
      <c r="L4" t="str">
        <f t="shared" ca="1" si="2"/>
        <v>Yes</v>
      </c>
      <c r="N4" t="str">
        <f t="shared" si="3"/>
        <v xml:space="preserve">3 Proof of concept
</v>
      </c>
      <c r="O4" t="str">
        <f t="shared" si="4"/>
        <v>Product:Product A
Stage:IN PROGRESS</v>
      </c>
      <c r="P4" t="str">
        <f t="shared" ca="1" si="7"/>
        <v>Visible</v>
      </c>
      <c r="Q4" t="str">
        <f t="shared" si="8"/>
        <v>Amber</v>
      </c>
    </row>
    <row r="5" spans="1:17" x14ac:dyDescent="0.25">
      <c r="B5">
        <v>4</v>
      </c>
      <c r="C5" t="s">
        <v>48</v>
      </c>
      <c r="D5" t="s">
        <v>60</v>
      </c>
      <c r="E5">
        <f t="shared" ca="1" si="0"/>
        <v>5</v>
      </c>
      <c r="F5" t="s">
        <v>27</v>
      </c>
      <c r="G5" t="s">
        <v>70</v>
      </c>
      <c r="H5" t="s">
        <v>108</v>
      </c>
      <c r="I5" s="18">
        <f t="shared" ca="1" si="5"/>
        <v>43948</v>
      </c>
      <c r="J5" s="18">
        <f t="shared" ca="1" si="6"/>
        <v>43981</v>
      </c>
      <c r="K5" s="18" t="str">
        <f t="shared" ca="1" si="1"/>
        <v>April</v>
      </c>
      <c r="L5" t="str">
        <f t="shared" ca="1" si="2"/>
        <v>Yes</v>
      </c>
      <c r="N5" t="str">
        <f t="shared" si="3"/>
        <v xml:space="preserve">4 First MVP
</v>
      </c>
      <c r="O5" t="str">
        <f t="shared" si="4"/>
        <v>Product:Product A
Stage:PLANNING</v>
      </c>
      <c r="P5" t="str">
        <f t="shared" ca="1" si="7"/>
        <v>Hidden</v>
      </c>
      <c r="Q5" t="str">
        <f t="shared" si="8"/>
        <v>RED</v>
      </c>
    </row>
    <row r="6" spans="1:17" x14ac:dyDescent="0.25">
      <c r="B6">
        <v>5</v>
      </c>
      <c r="C6" t="s">
        <v>105</v>
      </c>
      <c r="D6" t="s">
        <v>60</v>
      </c>
      <c r="E6">
        <f t="shared" ca="1" si="0"/>
        <v>1</v>
      </c>
      <c r="F6" t="s">
        <v>55</v>
      </c>
      <c r="G6" t="s">
        <v>70</v>
      </c>
      <c r="H6" t="s">
        <v>9</v>
      </c>
      <c r="I6" s="18">
        <f t="shared" ca="1" si="5"/>
        <v>43981</v>
      </c>
      <c r="J6" s="18">
        <f t="shared" ca="1" si="6"/>
        <v>43990</v>
      </c>
      <c r="K6" s="18" t="str">
        <f t="shared" ca="1" si="1"/>
        <v>May</v>
      </c>
      <c r="L6" t="str">
        <f t="shared" ca="1" si="2"/>
        <v>No</v>
      </c>
      <c r="N6" t="str">
        <f t="shared" si="3"/>
        <v xml:space="preserve">5 Security Testing
</v>
      </c>
      <c r="O6" t="str">
        <f t="shared" si="4"/>
        <v>Product:Product A
Stage:PLANNING</v>
      </c>
      <c r="P6" t="str">
        <f t="shared" ca="1" si="7"/>
        <v>Visible</v>
      </c>
      <c r="Q6" t="str">
        <f t="shared" si="8"/>
        <v>Green</v>
      </c>
    </row>
    <row r="7" spans="1:17" x14ac:dyDescent="0.25">
      <c r="B7">
        <v>6</v>
      </c>
      <c r="C7" t="s">
        <v>49</v>
      </c>
      <c r="D7" t="s">
        <v>60</v>
      </c>
      <c r="E7">
        <f t="shared" ca="1" si="0"/>
        <v>5</v>
      </c>
      <c r="F7" t="s">
        <v>26</v>
      </c>
      <c r="G7" t="s">
        <v>70</v>
      </c>
      <c r="H7" t="s">
        <v>35</v>
      </c>
      <c r="I7" s="18">
        <f t="shared" ca="1" si="5"/>
        <v>43990</v>
      </c>
      <c r="J7" s="18">
        <f t="shared" ca="1" si="6"/>
        <v>44040</v>
      </c>
      <c r="K7" s="18" t="str">
        <f t="shared" ca="1" si="1"/>
        <v>June</v>
      </c>
      <c r="L7" t="str">
        <f t="shared" ca="1" si="2"/>
        <v>No</v>
      </c>
      <c r="N7" t="str">
        <f t="shared" si="3"/>
        <v xml:space="preserve">6 UAT activities
</v>
      </c>
      <c r="O7" t="str">
        <f t="shared" si="4"/>
        <v>Product:Product A
Stage:PLANNING</v>
      </c>
      <c r="P7" t="str">
        <f t="shared" ca="1" si="7"/>
        <v>Hidden</v>
      </c>
      <c r="Q7" t="str">
        <f t="shared" si="8"/>
        <v>Amber</v>
      </c>
    </row>
    <row r="8" spans="1:17" x14ac:dyDescent="0.25">
      <c r="B8">
        <v>7</v>
      </c>
      <c r="C8" t="s">
        <v>52</v>
      </c>
      <c r="D8" t="s">
        <v>61</v>
      </c>
      <c r="E8">
        <f t="shared" ca="1" si="0"/>
        <v>3</v>
      </c>
      <c r="F8" t="s">
        <v>27</v>
      </c>
      <c r="G8" t="s">
        <v>24</v>
      </c>
      <c r="H8" t="s">
        <v>108</v>
      </c>
      <c r="I8" s="18">
        <f t="shared" ca="1" si="5"/>
        <v>44040</v>
      </c>
      <c r="J8" s="18">
        <f t="shared" ca="1" si="6"/>
        <v>44079</v>
      </c>
      <c r="K8" s="18" t="str">
        <f t="shared" ca="1" si="1"/>
        <v>July</v>
      </c>
      <c r="L8" t="str">
        <f t="shared" ca="1" si="2"/>
        <v>No</v>
      </c>
      <c r="N8" t="str">
        <f t="shared" si="3"/>
        <v xml:space="preserve">7 Backend and Devops
</v>
      </c>
      <c r="O8" t="str">
        <f t="shared" si="4"/>
        <v>Product:Product B
Stage:IN PROGRESS</v>
      </c>
      <c r="P8" t="str">
        <f t="shared" ca="1" si="7"/>
        <v>Visible</v>
      </c>
      <c r="Q8" t="str">
        <f t="shared" si="8"/>
        <v>RED</v>
      </c>
    </row>
    <row r="9" spans="1:17" x14ac:dyDescent="0.25">
      <c r="B9">
        <v>8</v>
      </c>
      <c r="C9" t="s">
        <v>54</v>
      </c>
      <c r="D9" t="s">
        <v>60</v>
      </c>
      <c r="E9">
        <f t="shared" ca="1" si="0"/>
        <v>2</v>
      </c>
      <c r="F9" t="s">
        <v>55</v>
      </c>
      <c r="G9" t="s">
        <v>70</v>
      </c>
      <c r="H9" t="s">
        <v>9</v>
      </c>
      <c r="I9" s="18">
        <f t="shared" ca="1" si="5"/>
        <v>44079</v>
      </c>
      <c r="J9" s="18">
        <f t="shared" ca="1" si="6"/>
        <v>44081</v>
      </c>
      <c r="K9" s="18" t="str">
        <f t="shared" ca="1" si="1"/>
        <v>September</v>
      </c>
      <c r="L9" t="str">
        <f t="shared" ca="1" si="2"/>
        <v>No</v>
      </c>
      <c r="N9" t="str">
        <f t="shared" si="3"/>
        <v xml:space="preserve">8 Release 2
</v>
      </c>
      <c r="O9" t="str">
        <f t="shared" si="4"/>
        <v>Product:Product A
Stage:PLANNING</v>
      </c>
      <c r="P9" t="str">
        <f t="shared" ca="1" si="7"/>
        <v>Visible</v>
      </c>
      <c r="Q9" t="str">
        <f t="shared" si="8"/>
        <v>Green</v>
      </c>
    </row>
    <row r="10" spans="1:17" x14ac:dyDescent="0.25">
      <c r="B10">
        <v>9</v>
      </c>
      <c r="C10" t="s">
        <v>47</v>
      </c>
      <c r="D10" t="s">
        <v>61</v>
      </c>
      <c r="E10">
        <f t="shared" ca="1" si="0"/>
        <v>2</v>
      </c>
      <c r="F10" t="s">
        <v>28</v>
      </c>
      <c r="G10" t="s">
        <v>25</v>
      </c>
      <c r="H10" t="s">
        <v>9</v>
      </c>
      <c r="I10" s="18">
        <f ca="1">DATE(YEAR(NOW()),3,1)</f>
        <v>43891</v>
      </c>
      <c r="J10" s="18">
        <f t="shared" ca="1" si="6"/>
        <v>43900</v>
      </c>
      <c r="K10" s="18" t="str">
        <f t="shared" ca="1" si="1"/>
        <v>March</v>
      </c>
      <c r="L10" t="str">
        <f t="shared" ca="1" si="2"/>
        <v>No</v>
      </c>
      <c r="N10" t="str">
        <f t="shared" si="3"/>
        <v xml:space="preserve">9 PID and Business case formally approved
</v>
      </c>
      <c r="O10" t="str">
        <f t="shared" si="4"/>
        <v>Product:Product B
Stage:COMPLETED</v>
      </c>
      <c r="P10" t="str">
        <f t="shared" ca="1" si="7"/>
        <v>Visible</v>
      </c>
      <c r="Q10" t="str">
        <f t="shared" si="8"/>
        <v>BLUE</v>
      </c>
    </row>
    <row r="11" spans="1:17" x14ac:dyDescent="0.25">
      <c r="B11">
        <v>10</v>
      </c>
      <c r="C11" t="s">
        <v>104</v>
      </c>
      <c r="D11" t="s">
        <v>61</v>
      </c>
      <c r="E11">
        <f t="shared" ca="1" si="0"/>
        <v>1</v>
      </c>
      <c r="F11" t="s">
        <v>26</v>
      </c>
      <c r="G11" t="s">
        <v>25</v>
      </c>
      <c r="H11" t="s">
        <v>9</v>
      </c>
      <c r="I11" s="18">
        <f t="shared" ref="I11:I18" ca="1" si="9">J10</f>
        <v>43900</v>
      </c>
      <c r="J11" s="18">
        <f t="shared" ca="1" si="6"/>
        <v>43952</v>
      </c>
      <c r="K11" s="18" t="str">
        <f t="shared" ca="1" si="1"/>
        <v>March</v>
      </c>
      <c r="L11" t="str">
        <f t="shared" ca="1" si="2"/>
        <v>No</v>
      </c>
      <c r="N11" t="str">
        <f t="shared" si="3"/>
        <v xml:space="preserve">10 User Stories
</v>
      </c>
      <c r="O11" t="str">
        <f t="shared" si="4"/>
        <v>Product:Product B
Stage:COMPLETED</v>
      </c>
      <c r="P11" t="str">
        <f t="shared" ca="1" si="7"/>
        <v>Visible</v>
      </c>
      <c r="Q11" t="str">
        <f t="shared" si="8"/>
        <v>BLUE</v>
      </c>
    </row>
    <row r="12" spans="1:17" x14ac:dyDescent="0.25">
      <c r="B12">
        <v>11</v>
      </c>
      <c r="C12" t="s">
        <v>48</v>
      </c>
      <c r="D12" t="s">
        <v>61</v>
      </c>
      <c r="E12">
        <f t="shared" ca="1" si="0"/>
        <v>2</v>
      </c>
      <c r="F12" t="s">
        <v>55</v>
      </c>
      <c r="G12" t="s">
        <v>24</v>
      </c>
      <c r="H12" t="s">
        <v>9</v>
      </c>
      <c r="I12" s="18">
        <f t="shared" ca="1" si="9"/>
        <v>43952</v>
      </c>
      <c r="J12" s="18">
        <f t="shared" ca="1" si="6"/>
        <v>44005</v>
      </c>
      <c r="K12" s="18" t="str">
        <f t="shared" ca="1" si="1"/>
        <v>May</v>
      </c>
      <c r="L12" t="str">
        <f t="shared" ca="1" si="2"/>
        <v>No</v>
      </c>
      <c r="N12" t="str">
        <f t="shared" si="3"/>
        <v xml:space="preserve">11 First MVP
</v>
      </c>
      <c r="O12" t="str">
        <f t="shared" si="4"/>
        <v>Product:Product B
Stage:IN PROGRESS</v>
      </c>
      <c r="P12" t="str">
        <f t="shared" ca="1" si="7"/>
        <v>Visible</v>
      </c>
      <c r="Q12" t="str">
        <f t="shared" si="8"/>
        <v>Green</v>
      </c>
    </row>
    <row r="13" spans="1:17" x14ac:dyDescent="0.25">
      <c r="B13">
        <v>12</v>
      </c>
      <c r="C13" t="s">
        <v>50</v>
      </c>
      <c r="D13" t="s">
        <v>61</v>
      </c>
      <c r="E13">
        <f t="shared" ca="1" si="0"/>
        <v>1</v>
      </c>
      <c r="F13" t="s">
        <v>26</v>
      </c>
      <c r="G13" t="s">
        <v>24</v>
      </c>
      <c r="H13" t="s">
        <v>35</v>
      </c>
      <c r="I13" s="18">
        <f t="shared" ca="1" si="9"/>
        <v>44005</v>
      </c>
      <c r="J13" s="18">
        <f t="shared" ca="1" si="6"/>
        <v>44057</v>
      </c>
      <c r="K13" s="18" t="str">
        <f t="shared" ca="1" si="1"/>
        <v>June</v>
      </c>
      <c r="L13" t="str">
        <f t="shared" ca="1" si="2"/>
        <v>No</v>
      </c>
      <c r="N13" t="str">
        <f t="shared" si="3"/>
        <v xml:space="preserve">12 Focus groups
</v>
      </c>
      <c r="O13" t="str">
        <f t="shared" si="4"/>
        <v>Product:Product B
Stage:IN PROGRESS</v>
      </c>
      <c r="P13" t="str">
        <f t="shared" ca="1" si="7"/>
        <v>Visible</v>
      </c>
      <c r="Q13" t="str">
        <f t="shared" si="8"/>
        <v>Amber</v>
      </c>
    </row>
    <row r="14" spans="1:17" x14ac:dyDescent="0.25">
      <c r="B14">
        <v>13</v>
      </c>
      <c r="C14" t="s">
        <v>51</v>
      </c>
      <c r="D14" t="s">
        <v>61</v>
      </c>
      <c r="E14">
        <f t="shared" ca="1" si="0"/>
        <v>5</v>
      </c>
      <c r="F14" t="s">
        <v>55</v>
      </c>
      <c r="G14" t="s">
        <v>70</v>
      </c>
      <c r="H14" t="s">
        <v>35</v>
      </c>
      <c r="I14" s="18">
        <f t="shared" ca="1" si="9"/>
        <v>44057</v>
      </c>
      <c r="J14" s="18">
        <f t="shared" ca="1" si="6"/>
        <v>44110</v>
      </c>
      <c r="K14" s="18" t="str">
        <f t="shared" ca="1" si="1"/>
        <v>August</v>
      </c>
      <c r="L14" t="str">
        <f t="shared" ca="1" si="2"/>
        <v>No</v>
      </c>
      <c r="N14" t="str">
        <f t="shared" si="3"/>
        <v xml:space="preserve">13 UX and Branding
</v>
      </c>
      <c r="O14" t="str">
        <f t="shared" si="4"/>
        <v>Product:Product B
Stage:PLANNING</v>
      </c>
      <c r="P14" t="str">
        <f t="shared" ca="1" si="7"/>
        <v>Hidden</v>
      </c>
      <c r="Q14" t="str">
        <f t="shared" si="8"/>
        <v>Amber</v>
      </c>
    </row>
    <row r="15" spans="1:17" x14ac:dyDescent="0.25">
      <c r="B15">
        <v>14</v>
      </c>
      <c r="C15" t="s">
        <v>53</v>
      </c>
      <c r="D15" t="s">
        <v>61</v>
      </c>
      <c r="E15">
        <f t="shared" ca="1" si="0"/>
        <v>3</v>
      </c>
      <c r="F15" t="s">
        <v>55</v>
      </c>
      <c r="G15" t="s">
        <v>70</v>
      </c>
      <c r="H15" t="s">
        <v>9</v>
      </c>
      <c r="I15" s="18">
        <f t="shared" ca="1" si="9"/>
        <v>44110</v>
      </c>
      <c r="J15" s="18">
        <f t="shared" ca="1" si="6"/>
        <v>44130</v>
      </c>
      <c r="K15" s="18" t="str">
        <f t="shared" ca="1" si="1"/>
        <v>October</v>
      </c>
      <c r="L15" t="str">
        <f t="shared" ca="1" si="2"/>
        <v>No</v>
      </c>
      <c r="N15" t="str">
        <f t="shared" si="3"/>
        <v xml:space="preserve">14 Release 1
</v>
      </c>
      <c r="O15" t="str">
        <f t="shared" si="4"/>
        <v>Product:Product B
Stage:PLANNING</v>
      </c>
      <c r="P15" t="str">
        <f t="shared" ca="1" si="7"/>
        <v>Visible</v>
      </c>
      <c r="Q15" t="str">
        <f t="shared" si="8"/>
        <v>Green</v>
      </c>
    </row>
    <row r="16" spans="1:17" x14ac:dyDescent="0.25">
      <c r="B16">
        <v>15</v>
      </c>
      <c r="C16" t="s">
        <v>54</v>
      </c>
      <c r="D16" t="s">
        <v>61</v>
      </c>
      <c r="E16">
        <f t="shared" ca="1" si="0"/>
        <v>4</v>
      </c>
      <c r="F16" t="s">
        <v>55</v>
      </c>
      <c r="G16" t="s">
        <v>70</v>
      </c>
      <c r="H16" t="s">
        <v>9</v>
      </c>
      <c r="I16" s="18">
        <f t="shared" ca="1" si="9"/>
        <v>44130</v>
      </c>
      <c r="J16" s="18">
        <f t="shared" ca="1" si="6"/>
        <v>44172</v>
      </c>
      <c r="K16" s="18" t="str">
        <f t="shared" ca="1" si="1"/>
        <v>October</v>
      </c>
      <c r="L16" t="str">
        <f t="shared" ca="1" si="2"/>
        <v>No</v>
      </c>
      <c r="N16" t="str">
        <f t="shared" si="3"/>
        <v xml:space="preserve">15 Release 2
</v>
      </c>
      <c r="O16" t="str">
        <f t="shared" si="4"/>
        <v>Product:Product B
Stage:PLANNING</v>
      </c>
      <c r="P16" t="str">
        <f t="shared" ca="1" si="7"/>
        <v>Hidden</v>
      </c>
      <c r="Q16" t="str">
        <f t="shared" si="8"/>
        <v>Green</v>
      </c>
    </row>
    <row r="17" spans="2:17" x14ac:dyDescent="0.25">
      <c r="B17">
        <v>16</v>
      </c>
      <c r="C17" t="s">
        <v>103</v>
      </c>
      <c r="D17" t="s">
        <v>61</v>
      </c>
      <c r="E17">
        <f t="shared" ca="1" si="0"/>
        <v>5</v>
      </c>
      <c r="F17" t="s">
        <v>55</v>
      </c>
      <c r="G17" t="s">
        <v>70</v>
      </c>
      <c r="H17" t="s">
        <v>9</v>
      </c>
      <c r="I17" s="18">
        <f t="shared" ca="1" si="9"/>
        <v>44172</v>
      </c>
      <c r="J17" s="18">
        <f t="shared" ca="1" si="6"/>
        <v>44193</v>
      </c>
      <c r="K17" s="18" t="str">
        <f t="shared" ca="1" si="1"/>
        <v>December</v>
      </c>
      <c r="L17" t="str">
        <f t="shared" ca="1" si="2"/>
        <v>No</v>
      </c>
      <c r="N17" t="str">
        <f t="shared" si="3"/>
        <v xml:space="preserve">16 Release 3
</v>
      </c>
      <c r="O17" t="str">
        <f t="shared" si="4"/>
        <v>Product:Product B
Stage:PLANNING</v>
      </c>
      <c r="P17" t="str">
        <f t="shared" ca="1" si="7"/>
        <v>Hidden</v>
      </c>
      <c r="Q17" t="str">
        <f t="shared" si="8"/>
        <v>Green</v>
      </c>
    </row>
    <row r="18" spans="2:17" x14ac:dyDescent="0.25">
      <c r="B18">
        <v>19</v>
      </c>
      <c r="C18" t="s">
        <v>47</v>
      </c>
      <c r="D18" t="s">
        <v>62</v>
      </c>
      <c r="E18">
        <f t="shared" ca="1" si="0"/>
        <v>2</v>
      </c>
      <c r="F18" t="s">
        <v>55</v>
      </c>
      <c r="G18" t="s">
        <v>72</v>
      </c>
      <c r="H18" t="s">
        <v>9</v>
      </c>
      <c r="I18" s="18">
        <f t="shared" ca="1" si="9"/>
        <v>44193</v>
      </c>
      <c r="J18" s="18">
        <f t="shared" ca="1" si="6"/>
        <v>44249</v>
      </c>
      <c r="K18" s="18" t="str">
        <f t="shared" ca="1" si="1"/>
        <v>December</v>
      </c>
      <c r="L18" t="str">
        <f t="shared" ca="1" si="2"/>
        <v>No</v>
      </c>
      <c r="M18" t="s">
        <v>107</v>
      </c>
      <c r="N18" t="str">
        <f t="shared" si="3"/>
        <v>19 PID and Business case formally approved
Pending Publishing Strategy</v>
      </c>
      <c r="O18" t="str">
        <f t="shared" si="4"/>
        <v>Product:Product C
Stage:PIPELINE</v>
      </c>
      <c r="P18" t="str">
        <f t="shared" ca="1" si="7"/>
        <v>Visible</v>
      </c>
      <c r="Q18" t="str">
        <f t="shared" si="8"/>
        <v>DEFAULT</v>
      </c>
    </row>
    <row r="19" spans="2:17" x14ac:dyDescent="0.25">
      <c r="B19">
        <v>20</v>
      </c>
      <c r="C19" t="s">
        <v>45</v>
      </c>
      <c r="D19" t="s">
        <v>62</v>
      </c>
      <c r="E19">
        <f t="shared" ca="1" si="0"/>
        <v>3</v>
      </c>
      <c r="F19" t="s">
        <v>26</v>
      </c>
      <c r="G19" t="s">
        <v>72</v>
      </c>
      <c r="H19" t="s">
        <v>9</v>
      </c>
      <c r="I19" s="18">
        <f ca="1">DATE(YEAR(NOW()),6,1)</f>
        <v>43983</v>
      </c>
      <c r="J19" s="18">
        <f t="shared" ca="1" si="6"/>
        <v>44016</v>
      </c>
      <c r="K19" s="18" t="str">
        <f t="shared" ca="1" si="1"/>
        <v>June</v>
      </c>
      <c r="L19" t="str">
        <f t="shared" ca="1" si="2"/>
        <v>No</v>
      </c>
      <c r="N19" t="str">
        <f t="shared" si="3"/>
        <v xml:space="preserve">20 Requirement gathering
</v>
      </c>
      <c r="O19" t="str">
        <f t="shared" si="4"/>
        <v>Product:Product C
Stage:PIPELINE</v>
      </c>
      <c r="P19" t="str">
        <f t="shared" ca="1" si="7"/>
        <v>Visible</v>
      </c>
      <c r="Q19" t="str">
        <f t="shared" si="8"/>
        <v>DEFAULT</v>
      </c>
    </row>
  </sheetData>
  <autoFilter ref="A1:Q19"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00"/>
  </sheetPr>
  <dimension ref="A1:C12"/>
  <sheetViews>
    <sheetView zoomScaleNormal="100" workbookViewId="0">
      <selection activeCell="A8" sqref="A8:A9"/>
    </sheetView>
  </sheetViews>
  <sheetFormatPr defaultRowHeight="15" x14ac:dyDescent="0.25"/>
  <cols>
    <col min="1" max="1" width="28.28515625" customWidth="1"/>
    <col min="2" max="2" width="32.5703125" customWidth="1"/>
    <col min="3" max="3" width="85" bestFit="1" customWidth="1"/>
  </cols>
  <sheetData>
    <row r="1" spans="1:3" x14ac:dyDescent="0.25">
      <c r="A1" t="s">
        <v>88</v>
      </c>
      <c r="B1" t="s">
        <v>0</v>
      </c>
      <c r="C1" t="s">
        <v>89</v>
      </c>
    </row>
    <row r="2" spans="1:3" x14ac:dyDescent="0.25">
      <c r="A2" t="s">
        <v>87</v>
      </c>
      <c r="B2" t="s">
        <v>109</v>
      </c>
      <c r="C2" t="s">
        <v>90</v>
      </c>
    </row>
    <row r="3" spans="1:3" x14ac:dyDescent="0.25">
      <c r="A3" t="s">
        <v>86</v>
      </c>
      <c r="B3" t="s">
        <v>121</v>
      </c>
      <c r="C3" t="s">
        <v>91</v>
      </c>
    </row>
    <row r="4" spans="1:3" x14ac:dyDescent="0.25">
      <c r="A4" t="s">
        <v>73</v>
      </c>
      <c r="B4" t="s">
        <v>68</v>
      </c>
      <c r="C4" t="s">
        <v>92</v>
      </c>
    </row>
    <row r="5" spans="1:3" x14ac:dyDescent="0.25">
      <c r="A5" t="s">
        <v>85</v>
      </c>
      <c r="B5" t="s">
        <v>122</v>
      </c>
      <c r="C5" t="s">
        <v>93</v>
      </c>
    </row>
    <row r="6" spans="1:3" x14ac:dyDescent="0.25">
      <c r="A6" t="s">
        <v>34</v>
      </c>
      <c r="B6">
        <v>2</v>
      </c>
      <c r="C6" t="s">
        <v>94</v>
      </c>
    </row>
    <row r="7" spans="1:3" x14ac:dyDescent="0.25">
      <c r="A7" t="s">
        <v>84</v>
      </c>
      <c r="B7" t="s">
        <v>37</v>
      </c>
      <c r="C7" t="s">
        <v>95</v>
      </c>
    </row>
    <row r="8" spans="1:3" x14ac:dyDescent="0.25">
      <c r="A8" t="s">
        <v>115</v>
      </c>
      <c r="B8" t="s">
        <v>1</v>
      </c>
      <c r="C8" t="s">
        <v>114</v>
      </c>
    </row>
    <row r="9" spans="1:3" x14ac:dyDescent="0.25">
      <c r="A9" t="s">
        <v>116</v>
      </c>
      <c r="B9" t="s">
        <v>30</v>
      </c>
      <c r="C9" t="s">
        <v>113</v>
      </c>
    </row>
    <row r="12" spans="1:3" x14ac:dyDescent="0.25">
      <c r="A12" t="s">
        <v>40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FFFF00"/>
  </sheetPr>
  <dimension ref="A1:C4"/>
  <sheetViews>
    <sheetView zoomScale="130" zoomScaleNormal="130" workbookViewId="0">
      <selection activeCell="A3" sqref="A3:C4"/>
    </sheetView>
  </sheetViews>
  <sheetFormatPr defaultRowHeight="15" x14ac:dyDescent="0.25"/>
  <cols>
    <col min="1" max="1" width="20.140625" bestFit="1" customWidth="1"/>
    <col min="3" max="3" width="100.42578125" bestFit="1" customWidth="1"/>
  </cols>
  <sheetData>
    <row r="1" spans="1:3" x14ac:dyDescent="0.25">
      <c r="A1" t="s">
        <v>31</v>
      </c>
      <c r="B1" t="s">
        <v>2</v>
      </c>
      <c r="C1" t="s">
        <v>44</v>
      </c>
    </row>
    <row r="2" spans="1:3" x14ac:dyDescent="0.25">
      <c r="A2" t="s">
        <v>32</v>
      </c>
      <c r="B2" t="s">
        <v>33</v>
      </c>
      <c r="C2" t="s">
        <v>111</v>
      </c>
    </row>
    <row r="3" spans="1:3" x14ac:dyDescent="0.25">
      <c r="A3" t="s">
        <v>110</v>
      </c>
      <c r="B3" t="s">
        <v>1</v>
      </c>
      <c r="C3" t="s">
        <v>114</v>
      </c>
    </row>
    <row r="4" spans="1:3" x14ac:dyDescent="0.25">
      <c r="A4" t="s">
        <v>112</v>
      </c>
      <c r="B4" t="s">
        <v>30</v>
      </c>
      <c r="C4" t="s">
        <v>113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A1:B26"/>
  <sheetViews>
    <sheetView zoomScaleNormal="100" workbookViewId="0">
      <selection activeCell="B9" sqref="B9"/>
    </sheetView>
  </sheetViews>
  <sheetFormatPr defaultRowHeight="15" x14ac:dyDescent="0.25"/>
  <cols>
    <col min="1" max="1" width="25.5703125" bestFit="1" customWidth="1"/>
    <col min="2" max="2" width="17" bestFit="1" customWidth="1"/>
  </cols>
  <sheetData>
    <row r="1" spans="1:2" x14ac:dyDescent="0.25">
      <c r="A1" t="s">
        <v>10</v>
      </c>
      <c r="B1" t="s">
        <v>11</v>
      </c>
    </row>
    <row r="2" spans="1:2" x14ac:dyDescent="0.25">
      <c r="A2" t="s">
        <v>12</v>
      </c>
      <c r="B2" t="s">
        <v>65</v>
      </c>
    </row>
    <row r="3" spans="1:2" x14ac:dyDescent="0.25">
      <c r="A3" t="s">
        <v>66</v>
      </c>
      <c r="B3" t="s">
        <v>67</v>
      </c>
    </row>
    <row r="4" spans="1:2" x14ac:dyDescent="0.25">
      <c r="A4" t="s">
        <v>23</v>
      </c>
      <c r="B4" t="s">
        <v>29</v>
      </c>
    </row>
    <row r="5" spans="1:2" x14ac:dyDescent="0.25">
      <c r="A5" t="s">
        <v>81</v>
      </c>
    </row>
    <row r="6" spans="1:2" x14ac:dyDescent="0.25">
      <c r="A6" t="s">
        <v>82</v>
      </c>
    </row>
    <row r="7" spans="1:2" x14ac:dyDescent="0.25">
      <c r="A7" t="s">
        <v>83</v>
      </c>
    </row>
    <row r="8" spans="1:2" x14ac:dyDescent="0.25">
      <c r="A8" t="s">
        <v>13</v>
      </c>
      <c r="B8" s="15" t="s">
        <v>64</v>
      </c>
    </row>
    <row r="9" spans="1:2" x14ac:dyDescent="0.25">
      <c r="A9" t="s">
        <v>14</v>
      </c>
      <c r="B9" s="15"/>
    </row>
    <row r="10" spans="1:2" x14ac:dyDescent="0.25">
      <c r="A10" t="s">
        <v>16</v>
      </c>
      <c r="B10" s="15"/>
    </row>
    <row r="11" spans="1:2" x14ac:dyDescent="0.25">
      <c r="A11" t="s">
        <v>18</v>
      </c>
      <c r="B11" s="15" t="s">
        <v>8</v>
      </c>
    </row>
    <row r="12" spans="1:2" x14ac:dyDescent="0.25">
      <c r="A12" t="s">
        <v>19</v>
      </c>
      <c r="B12" s="15" t="s">
        <v>17</v>
      </c>
    </row>
    <row r="13" spans="1:2" x14ac:dyDescent="0.25">
      <c r="A13" t="s">
        <v>43</v>
      </c>
      <c r="B13" s="15"/>
    </row>
    <row r="14" spans="1:2" x14ac:dyDescent="0.25">
      <c r="A14" t="s">
        <v>56</v>
      </c>
      <c r="B14" s="15" t="s">
        <v>68</v>
      </c>
    </row>
    <row r="15" spans="1:2" x14ac:dyDescent="0.25">
      <c r="A15" t="s">
        <v>38</v>
      </c>
      <c r="B15" s="15" t="s">
        <v>17</v>
      </c>
    </row>
    <row r="16" spans="1:2" x14ac:dyDescent="0.25">
      <c r="A16" t="s">
        <v>39</v>
      </c>
      <c r="B16" s="15" t="s">
        <v>17</v>
      </c>
    </row>
    <row r="17" spans="1:2" x14ac:dyDescent="0.25">
      <c r="A17" t="s">
        <v>80</v>
      </c>
    </row>
    <row r="18" spans="1:2" x14ac:dyDescent="0.25">
      <c r="A18" t="s">
        <v>41</v>
      </c>
      <c r="B18" s="15" t="s">
        <v>42</v>
      </c>
    </row>
    <row r="19" spans="1:2" x14ac:dyDescent="0.25">
      <c r="A19" t="s">
        <v>77</v>
      </c>
      <c r="B19" s="15">
        <v>13</v>
      </c>
    </row>
    <row r="20" spans="1:2" x14ac:dyDescent="0.25">
      <c r="A20" t="s">
        <v>75</v>
      </c>
    </row>
    <row r="21" spans="1:2" x14ac:dyDescent="0.25">
      <c r="A21" t="s">
        <v>76</v>
      </c>
    </row>
    <row r="22" spans="1:2" x14ac:dyDescent="0.25">
      <c r="A22" t="s">
        <v>74</v>
      </c>
    </row>
    <row r="23" spans="1:2" x14ac:dyDescent="0.25">
      <c r="A23" t="s">
        <v>78</v>
      </c>
    </row>
    <row r="24" spans="1:2" x14ac:dyDescent="0.25">
      <c r="A24" t="s">
        <v>79</v>
      </c>
    </row>
    <row r="25" spans="1:2" x14ac:dyDescent="0.25">
      <c r="A25" t="s">
        <v>20</v>
      </c>
      <c r="B25" s="16"/>
    </row>
    <row r="26" spans="1:2" x14ac:dyDescent="0.25">
      <c r="A26" t="s">
        <v>21</v>
      </c>
      <c r="B26"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FF00"/>
  </sheetPr>
  <dimension ref="A1:C7"/>
  <sheetViews>
    <sheetView workbookViewId="0">
      <selection activeCell="C11" sqref="C11"/>
    </sheetView>
  </sheetViews>
  <sheetFormatPr defaultRowHeight="15" x14ac:dyDescent="0.25"/>
  <cols>
    <col min="1" max="1" width="24.28515625" bestFit="1" customWidth="1"/>
  </cols>
  <sheetData>
    <row r="1" spans="1:3" x14ac:dyDescent="0.25">
      <c r="A1" t="s">
        <v>57</v>
      </c>
      <c r="B1">
        <v>130</v>
      </c>
      <c r="C1" t="s">
        <v>97</v>
      </c>
    </row>
    <row r="2" spans="1:3" x14ac:dyDescent="0.25">
      <c r="A2" t="s">
        <v>58</v>
      </c>
      <c r="B2">
        <v>80</v>
      </c>
      <c r="C2" t="s">
        <v>96</v>
      </c>
    </row>
    <row r="3" spans="1:3" x14ac:dyDescent="0.25">
      <c r="A3" t="s">
        <v>59</v>
      </c>
      <c r="B3">
        <v>10</v>
      </c>
      <c r="C3" t="s">
        <v>100</v>
      </c>
    </row>
    <row r="4" spans="1:3" x14ac:dyDescent="0.25">
      <c r="A4" t="s">
        <v>22</v>
      </c>
      <c r="B4">
        <v>1</v>
      </c>
      <c r="C4" t="s">
        <v>98</v>
      </c>
    </row>
    <row r="5" spans="1:3" x14ac:dyDescent="0.25">
      <c r="A5" t="s">
        <v>36</v>
      </c>
      <c r="B5">
        <v>2</v>
      </c>
      <c r="C5" t="s">
        <v>99</v>
      </c>
    </row>
    <row r="6" spans="1:3" x14ac:dyDescent="0.25">
      <c r="A6" t="s">
        <v>117</v>
      </c>
      <c r="B6">
        <v>0.2</v>
      </c>
      <c r="C6" t="s">
        <v>119</v>
      </c>
    </row>
    <row r="7" spans="1:3" x14ac:dyDescent="0.25">
      <c r="A7" t="s">
        <v>118</v>
      </c>
      <c r="B7">
        <v>1</v>
      </c>
      <c r="C7" t="s">
        <v>120</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H14"/>
  <sheetViews>
    <sheetView zoomScale="40" zoomScaleNormal="40" workbookViewId="0">
      <selection activeCell="C4" sqref="C4:H13"/>
    </sheetView>
  </sheetViews>
  <sheetFormatPr defaultColWidth="9.140625" defaultRowHeight="46.5" x14ac:dyDescent="0.7"/>
  <cols>
    <col min="1" max="1" width="16.28515625" style="21" customWidth="1"/>
    <col min="2" max="2" width="60.28515625" style="20" customWidth="1"/>
    <col min="3" max="8" width="66.140625" style="20" customWidth="1"/>
    <col min="9" max="16384" width="9.140625" style="20"/>
  </cols>
  <sheetData>
    <row r="1" spans="1:8" s="19" customFormat="1" ht="66" customHeight="1" x14ac:dyDescent="0.7">
      <c r="A1" s="21"/>
    </row>
    <row r="2" spans="1:8" ht="103.5" customHeight="1" x14ac:dyDescent="0.7">
      <c r="B2" s="23" t="s">
        <v>65</v>
      </c>
      <c r="C2" s="12"/>
      <c r="D2" s="11"/>
      <c r="E2" s="11"/>
      <c r="F2" s="11"/>
      <c r="G2" s="11"/>
      <c r="H2" s="11"/>
    </row>
    <row r="3" spans="1:8" ht="92.25" customHeight="1" thickBot="1" x14ac:dyDescent="0.75">
      <c r="B3" s="10"/>
      <c r="C3" s="10" t="s">
        <v>72</v>
      </c>
      <c r="D3" s="10" t="s">
        <v>70</v>
      </c>
      <c r="E3" s="10" t="s">
        <v>24</v>
      </c>
      <c r="F3" s="10" t="s">
        <v>71</v>
      </c>
      <c r="G3" s="12" t="s">
        <v>25</v>
      </c>
      <c r="H3" s="10" t="s">
        <v>69</v>
      </c>
    </row>
    <row r="4" spans="1:8" ht="97.9" customHeight="1" x14ac:dyDescent="0.7">
      <c r="B4" s="10" t="s">
        <v>60</v>
      </c>
      <c r="C4" s="9"/>
      <c r="D4" s="8"/>
      <c r="E4" s="8"/>
      <c r="F4" s="8"/>
      <c r="G4" s="8"/>
      <c r="H4" s="7"/>
    </row>
    <row r="5" spans="1:8" ht="97.9" customHeight="1" x14ac:dyDescent="0.7">
      <c r="B5" s="10"/>
      <c r="C5" s="6"/>
      <c r="D5" s="5"/>
      <c r="E5" s="5"/>
      <c r="F5" s="5"/>
      <c r="G5" s="5"/>
      <c r="H5" s="4"/>
    </row>
    <row r="6" spans="1:8" ht="97.9" customHeight="1" x14ac:dyDescent="0.7">
      <c r="B6" s="10"/>
      <c r="C6" s="6"/>
      <c r="D6" s="5"/>
      <c r="E6" s="5"/>
      <c r="F6" s="5"/>
      <c r="G6" s="5"/>
      <c r="H6" s="4"/>
    </row>
    <row r="7" spans="1:8" ht="97.9" customHeight="1" x14ac:dyDescent="0.7">
      <c r="B7" s="10"/>
      <c r="C7" s="6"/>
      <c r="D7" s="5"/>
      <c r="E7" s="5"/>
      <c r="F7" s="5"/>
      <c r="G7" s="5"/>
      <c r="H7" s="4"/>
    </row>
    <row r="8" spans="1:8" ht="97.9" customHeight="1" x14ac:dyDescent="0.7">
      <c r="B8" s="10" t="s">
        <v>61</v>
      </c>
      <c r="C8" s="6"/>
      <c r="D8" s="5"/>
      <c r="E8" s="5"/>
      <c r="F8" s="5"/>
      <c r="G8" s="5"/>
      <c r="H8" s="4"/>
    </row>
    <row r="9" spans="1:8" ht="97.9" customHeight="1" x14ac:dyDescent="0.7">
      <c r="B9" s="10"/>
      <c r="C9" s="6"/>
      <c r="D9" s="5"/>
      <c r="E9" s="5"/>
      <c r="F9" s="5"/>
      <c r="G9" s="5"/>
      <c r="H9" s="4"/>
    </row>
    <row r="10" spans="1:8" ht="97.9" customHeight="1" x14ac:dyDescent="0.7">
      <c r="B10" s="10"/>
      <c r="C10" s="6"/>
      <c r="D10" s="5"/>
      <c r="E10" s="5"/>
      <c r="F10" s="5"/>
      <c r="G10" s="5"/>
      <c r="H10" s="4"/>
    </row>
    <row r="11" spans="1:8" ht="97.9" customHeight="1" x14ac:dyDescent="0.7">
      <c r="B11" s="10"/>
      <c r="C11" s="6"/>
      <c r="D11" s="5"/>
      <c r="E11" s="5"/>
      <c r="F11" s="5"/>
      <c r="G11" s="5"/>
      <c r="H11" s="4"/>
    </row>
    <row r="12" spans="1:8" ht="97.9" customHeight="1" x14ac:dyDescent="0.7">
      <c r="B12" s="10" t="s">
        <v>62</v>
      </c>
      <c r="C12" s="6"/>
      <c r="D12" s="5"/>
      <c r="E12" s="5"/>
      <c r="F12" s="5"/>
      <c r="G12" s="5"/>
      <c r="H12" s="4"/>
    </row>
    <row r="13" spans="1:8" ht="97.9"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FFFF00"/>
  </sheetPr>
  <dimension ref="A1:H14"/>
  <sheetViews>
    <sheetView zoomScale="40" zoomScaleNormal="40" workbookViewId="0">
      <selection activeCell="C4" sqref="C4"/>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65</v>
      </c>
      <c r="C2" s="12" t="s">
        <v>6</v>
      </c>
      <c r="D2" s="12" t="str">
        <f>C2</f>
        <v>Stage</v>
      </c>
      <c r="E2" s="12" t="str">
        <f t="shared" ref="E2:H2" si="0">D2</f>
        <v>Stage</v>
      </c>
      <c r="F2" s="12" t="str">
        <f t="shared" si="0"/>
        <v>Stage</v>
      </c>
      <c r="G2" s="12" t="str">
        <f t="shared" si="0"/>
        <v>Stage</v>
      </c>
      <c r="H2" s="12" t="str">
        <f t="shared" si="0"/>
        <v>Stage</v>
      </c>
    </row>
    <row r="3" spans="1:8" ht="92.25" customHeight="1" x14ac:dyDescent="0.7">
      <c r="B3" s="10"/>
      <c r="C3" s="10" t="s">
        <v>72</v>
      </c>
      <c r="D3" s="10" t="s">
        <v>70</v>
      </c>
      <c r="E3" s="10" t="s">
        <v>24</v>
      </c>
      <c r="F3" s="10" t="s">
        <v>71</v>
      </c>
      <c r="G3" s="10" t="s">
        <v>25</v>
      </c>
      <c r="H3" s="10" t="s">
        <v>25</v>
      </c>
    </row>
    <row r="4" spans="1:8" ht="81" customHeight="1" x14ac:dyDescent="0.7">
      <c r="A4" s="21" t="s">
        <v>63</v>
      </c>
      <c r="B4" s="10" t="s">
        <v>60</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7">
      <c r="A5" s="21" t="str">
        <f>A4</f>
        <v>Product</v>
      </c>
      <c r="B5" s="10" t="s">
        <v>60</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7">
      <c r="A6" s="21" t="str">
        <f t="shared" ref="A6:A13" si="3">A5</f>
        <v>Product</v>
      </c>
      <c r="B6" s="10" t="s">
        <v>60</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7">
      <c r="A7" s="21" t="str">
        <f t="shared" si="3"/>
        <v>Product</v>
      </c>
      <c r="B7" s="10" t="s">
        <v>60</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7">
      <c r="A8" s="21" t="str">
        <f t="shared" si="3"/>
        <v>Product</v>
      </c>
      <c r="B8" s="10" t="s">
        <v>61</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7">
      <c r="A9" s="21" t="str">
        <f t="shared" si="3"/>
        <v>Product</v>
      </c>
      <c r="B9" s="10" t="s">
        <v>61</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7">
      <c r="A10" s="21" t="str">
        <f t="shared" si="3"/>
        <v>Product</v>
      </c>
      <c r="B10" s="10" t="s">
        <v>61</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7">
      <c r="A11" s="21" t="str">
        <f t="shared" si="3"/>
        <v>Product</v>
      </c>
      <c r="B11" s="10" t="s">
        <v>61</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7">
      <c r="A12" s="21" t="str">
        <f t="shared" si="3"/>
        <v>Product</v>
      </c>
      <c r="B12" s="10" t="s">
        <v>62</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7">
      <c r="A13" s="21" t="str">
        <f t="shared" si="3"/>
        <v>Product</v>
      </c>
      <c r="B13" s="10" t="s">
        <v>62</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25">
      <c r="A14" s="20"/>
      <c r="B14" s="10"/>
      <c r="C14" s="11"/>
      <c r="D14" s="11"/>
      <c r="E14" s="11"/>
      <c r="F14" s="11"/>
      <c r="G14" s="11"/>
      <c r="H14" s="1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tabColor rgb="FFFFFF00"/>
  </sheetPr>
  <dimension ref="A1"/>
  <sheetViews>
    <sheetView zoomScale="70" zoomScaleNormal="70" workbookViewId="0">
      <selection activeCell="A16" sqref="A16"/>
    </sheetView>
  </sheetViews>
  <sheetFormatPr defaultRowHeight="15" x14ac:dyDescent="0.25"/>
  <cols>
    <col min="1" max="7" width="55.28515625" customWidth="1"/>
    <col min="10" max="10" width="55.28515625" customWidth="1"/>
    <col min="99" max="99" width="55.28515625"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Board</vt:lpstr>
      <vt:lpstr>Data</vt:lpstr>
      <vt:lpstr>AppConfig</vt:lpstr>
      <vt:lpstr>DataConfig</vt:lpstr>
      <vt:lpstr>LayoutConfig</vt:lpstr>
      <vt:lpstr>BoardConfig</vt:lpstr>
      <vt:lpstr>Template1</vt:lpstr>
      <vt:lpstr>Template1Data</vt:lpstr>
      <vt:lpstr>DataXY</vt:lpstr>
      <vt:lpstr>Template1</vt:lpstr>
      <vt:lpstr>Template1Data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2020-05-30T10:55:56Z</dcterms:modified>
</cp:coreProperties>
</file>