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ED9327E3-4541-4BF3-B89F-9714F7B05633}" xr6:coauthVersionLast="45" xr6:coauthVersionMax="45" xr10:uidLastSave="{00000000-0000-0000-0000-000000000000}"/>
  <bookViews>
    <workbookView xWindow="-120" yWindow="-120" windowWidth="29040" windowHeight="15840" tabRatio="803" activeTab="5"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<sst xmlns="http://schemas.openxmlformats.org/spreadsheetml/2006/main" count="228" uniqueCount="123">
  <si>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</si>
  <si>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</si>
  <si>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</si>
  <si>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</si>
  <si>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</si>
  <si>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</si>
  <si>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</si>
  <si>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</si>
  <si>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</si>
  <si>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</si>
  <si>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</si>
  <si>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</si>
  <si>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</si>
  <si>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</si>
  <si>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</si>
  <si>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</si>
  <si>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</si>
  <si>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</si>
  <si>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</si>
  <si>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</si>
  <si>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</si>
  <si>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</si>
  <si>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</si>
  <si>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</si>
  <si>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</si>
  <si>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</si>
  <si>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</si>
  <si>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</si>
  <si>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</si>
  <si>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</si>
  <si>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</si>
  <si>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</si>
  <si>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</si>
  <si>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</si>
  <si>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</si>
  <si>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</si>
  <si>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</si>
  <si>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</si>
  <si>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</si>
  <si>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</si>
  <si>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</si>
  <si>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</si>
  <si>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</si>
  <si>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</si>
  <si>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</si>
  <si>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</si>
  <si>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</si>
  <si>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</si>
  <si>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</si>
  <si>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</si>
  <si>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</si>
  <si>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</si>
  <si>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</si>
  <si>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</si>
  <si>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</si>
  <si>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</si>
  <si>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</si>
  <si>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</si>
  <si>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</si>
  <si>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</si>
  <si>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</si>
  <si>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</si>
  <si>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</si>
  <si>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</si>
  <si>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</si>
  <si>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</si>
  <si>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</si>
  <si>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</si>
  <si>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</si>
  <si>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</si>
  <si>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</si>
  <si>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</si>
  <si>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</si>
  <si>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</si>
  <si>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</si>
  <si>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</si>
  <si>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</si>
  <si>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</si>
  <si>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</si>
  <si>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</si>
  <si>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</si>
  <si>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</si>
  <si>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</si>
  <si>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</si>
  <si>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</si>
  <si>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</si>
  <si>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</si>
  <si>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</si>
  <si>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</si>
  <si>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</si>
  <si>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</si>
  <si>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</si>
  <si>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</si>
  <si>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</si>
  <si>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</si>
  <si>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</si>
  <si>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</si>
  <si>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</si>
  <si>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</si>
  <si>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</si>
  <si>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</si>
  <si>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</si>
  <si>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</si>
  <si>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</si>
  <si>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</si>
  <si>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</si>
  <si>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</si>
  <si>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</si>
  <si>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</si>
  <si>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</si>
  <si>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</si>
  <si>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</si>
  <si>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</si>
  <si>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</si>
  <si>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</si>
  <si>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</si>
  <si>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</si>
  <si>
    <t>default_size_step</t>
  </si>
  <si>
    <t>size_factor</t>
  </si>
  <si>
    <t>When using labels for sizing notes, the step would be applied to create the difference between Small/Medium/Large</t>
  </si>
  <si>
    <t>convenient way to resize the notes by a factor for printing or layout</t>
  </si>
  <si>
    <t>Board20200525100622.xlsx</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</si>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</sst>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63</v>
      </c>
      <c r="E1" t="s">
        <v>102</v>
      </c>
      <c r="F1" t="s">
        <v>3</v>
      </c>
      <c r="G1" t="s">
        <v>6</v>
      </c>
      <c r="H1" t="s">
        <v>7</v>
      </c>
      <c r="I1" t="s">
        <v>4</v>
      </c>
      <c r="J1" t="s">
        <v>5</v>
      </c>
      <c r="K1" t="s">
        <v>101</v>
      </c>
      <c r="L1" t="s">
        <v>8</v>
      </c>
      <c r="M1" t="s">
        <v>33</v>
      </c>
      <c r="N1" t="s">
        <v>37</v>
      </c>
      <c r="O1" t="s">
        <v>42</v>
      </c>
      <c r="P1" t="s">
        <v>15</v>
      </c>
      <c r="Q1" t="s">
        <v>64</v>
      </c>
    </row>
    <row r="2" spans="1:17" x14ac:dyDescent="0.25">
      <c r="B2">
        <v>1</v>
      </c>
      <c r="C2" t="s">
        <v>47</v>
      </c>
      <c r="D2" t="s">
        <v>60</v>
      </c>
      <c r="E2">
        <f t="shared" ref="E2:E19" ca="1" si="0">RANDBETWEEN(1,5)</f>
        <v>1</v>
      </c>
      <c r="F2" t="s">
        <v>55</v>
      </c>
      <c r="G2" t="s">
        <v>25</v>
      </c>
      <c r="H2" t="s">
        <v>9</v>
      </c>
      <c r="I2" s="18">
        <f ca="1">DATE(YEAR(NOW()),1,1)</f>
        <v>43831</v>
      </c>
      <c r="J2" s="18">
        <f ca="1">I2+ROUND(RANDBETWEEN(1,30),0)</f>
        <v>43832</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Visible</v>
      </c>
      <c r="Q2" t="str">
        <f>IF(UPPER(G2)="PIPELINE","DEFAULT",IF(UPPER(G2)="COMPLETED","BLUE",H2))</f>
        <v>BLUE</v>
      </c>
    </row>
    <row r="3" spans="1:17" x14ac:dyDescent="0.25">
      <c r="B3">
        <v>2</v>
      </c>
      <c r="C3" t="s">
        <v>104</v>
      </c>
      <c r="D3" t="s">
        <v>60</v>
      </c>
      <c r="E3">
        <f t="shared" ca="1" si="0"/>
        <v>1</v>
      </c>
      <c r="F3" t="s">
        <v>26</v>
      </c>
      <c r="G3" t="s">
        <v>25</v>
      </c>
      <c r="H3" t="s">
        <v>9</v>
      </c>
      <c r="I3" s="18">
        <f t="shared" ref="I3:I9" ca="1" si="5">J2</f>
        <v>43832</v>
      </c>
      <c r="J3" s="18">
        <f t="shared" ref="J3:J19" ca="1" si="6">I3+ROUND(RANDBETWEEN(1,60),0)</f>
        <v>43877</v>
      </c>
      <c r="K3" s="18" t="str">
        <f t="shared" ca="1" si="1"/>
        <v>January</v>
      </c>
      <c r="L3" t="str">
        <f t="shared" ca="1" si="2"/>
        <v>No</v>
      </c>
      <c r="M3" t="s">
        <v>106</v>
      </c>
      <c r="N3" t="str">
        <f t="shared" si="3"/>
        <v>2 User Stories
Signed off by Customer Services</v>
      </c>
      <c r="O3" t="str">
        <f t="shared" si="4"/>
        <v>Product:Product A
Stage:COMPLETED</v>
      </c>
      <c r="P3" t="str">
        <f t="shared" ref="P3:P19" ca="1" si="7">IF($E3&lt;=3,"Visible","Hidden")</f>
        <v>Visible</v>
      </c>
      <c r="Q3" t="str">
        <f t="shared" ref="Q3:Q19" si="8">IF(UPPER(G3)="PIPELINE","DEFAULT",IF(UPPER(G3)="COMPLETED","BLUE",H3))</f>
        <v>BLUE</v>
      </c>
    </row>
    <row r="4" spans="1:17" x14ac:dyDescent="0.25">
      <c r="B4">
        <v>3</v>
      </c>
      <c r="C4" t="s">
        <v>46</v>
      </c>
      <c r="D4" t="s">
        <v>60</v>
      </c>
      <c r="E4">
        <f t="shared" ca="1" si="0"/>
        <v>2</v>
      </c>
      <c r="F4" t="s">
        <v>27</v>
      </c>
      <c r="G4" t="s">
        <v>24</v>
      </c>
      <c r="H4" t="s">
        <v>35</v>
      </c>
      <c r="I4" s="18">
        <f t="shared" ca="1" si="5"/>
        <v>43877</v>
      </c>
      <c r="J4" s="18">
        <f t="shared" ca="1" si="6"/>
        <v>43926</v>
      </c>
      <c r="K4" s="18" t="str">
        <f t="shared" ca="1" si="1"/>
        <v>February</v>
      </c>
      <c r="L4" t="str">
        <f t="shared" ca="1" si="2"/>
        <v>Yes</v>
      </c>
      <c r="N4" t="str">
        <f t="shared" si="3"/>
        <v xml:space="preserve">3 Proof of concept
</v>
      </c>
      <c r="O4" t="str">
        <f t="shared" si="4"/>
        <v>Product:Product A
Stage:IN PROGRESS</v>
      </c>
      <c r="P4" t="str">
        <f t="shared" ca="1" si="7"/>
        <v>Visible</v>
      </c>
      <c r="Q4" t="str">
        <f t="shared" si="8"/>
        <v>Amber</v>
      </c>
    </row>
    <row r="5" spans="1:17" x14ac:dyDescent="0.25">
      <c r="B5">
        <v>4</v>
      </c>
      <c r="C5" t="s">
        <v>48</v>
      </c>
      <c r="D5" t="s">
        <v>60</v>
      </c>
      <c r="E5">
        <f t="shared" ca="1" si="0"/>
        <v>5</v>
      </c>
      <c r="F5" t="s">
        <v>27</v>
      </c>
      <c r="G5" t="s">
        <v>70</v>
      </c>
      <c r="H5" t="s">
        <v>108</v>
      </c>
      <c r="I5" s="18">
        <f t="shared" ca="1" si="5"/>
        <v>43926</v>
      </c>
      <c r="J5" s="18">
        <f t="shared" ca="1" si="6"/>
        <v>43957</v>
      </c>
      <c r="K5" s="18" t="str">
        <f t="shared" ca="1" si="1"/>
        <v>April</v>
      </c>
      <c r="L5" t="str">
        <f t="shared" ca="1" si="2"/>
        <v>Yes</v>
      </c>
      <c r="N5" t="str">
        <f t="shared" si="3"/>
        <v xml:space="preserve">4 First MVP
</v>
      </c>
      <c r="O5" t="str">
        <f t="shared" si="4"/>
        <v>Product:Product A
Stage:PLANNING</v>
      </c>
      <c r="P5" t="str">
        <f t="shared" ca="1" si="7"/>
        <v>Hidden</v>
      </c>
      <c r="Q5" t="str">
        <f t="shared" si="8"/>
        <v>RED</v>
      </c>
    </row>
    <row r="6" spans="1:17" x14ac:dyDescent="0.25">
      <c r="B6">
        <v>5</v>
      </c>
      <c r="C6" t="s">
        <v>105</v>
      </c>
      <c r="D6" t="s">
        <v>60</v>
      </c>
      <c r="E6">
        <f t="shared" ca="1" si="0"/>
        <v>1</v>
      </c>
      <c r="F6" t="s">
        <v>55</v>
      </c>
      <c r="G6" t="s">
        <v>70</v>
      </c>
      <c r="H6" t="s">
        <v>9</v>
      </c>
      <c r="I6" s="18">
        <f t="shared" ca="1" si="5"/>
        <v>43957</v>
      </c>
      <c r="J6" s="18">
        <f t="shared" ca="1" si="6"/>
        <v>43986</v>
      </c>
      <c r="K6" s="18" t="str">
        <f t="shared" ca="1" si="1"/>
        <v>May</v>
      </c>
      <c r="L6" t="str">
        <f t="shared" ca="1" si="2"/>
        <v>No</v>
      </c>
      <c r="N6" t="str">
        <f t="shared" si="3"/>
        <v xml:space="preserve">5 Security Testing
</v>
      </c>
      <c r="O6" t="str">
        <f t="shared" si="4"/>
        <v>Product:Product A
Stage:PLANNING</v>
      </c>
      <c r="P6" t="str">
        <f t="shared" ca="1" si="7"/>
        <v>Visible</v>
      </c>
      <c r="Q6" t="str">
        <f t="shared" si="8"/>
        <v>Green</v>
      </c>
    </row>
    <row r="7" spans="1:17" x14ac:dyDescent="0.25">
      <c r="B7">
        <v>6</v>
      </c>
      <c r="C7" t="s">
        <v>49</v>
      </c>
      <c r="D7" t="s">
        <v>60</v>
      </c>
      <c r="E7">
        <f t="shared" ca="1" si="0"/>
        <v>1</v>
      </c>
      <c r="F7" t="s">
        <v>26</v>
      </c>
      <c r="G7" t="s">
        <v>70</v>
      </c>
      <c r="H7" t="s">
        <v>35</v>
      </c>
      <c r="I7" s="18">
        <f t="shared" ca="1" si="5"/>
        <v>43986</v>
      </c>
      <c r="J7" s="18">
        <f t="shared" ca="1" si="6"/>
        <v>44033</v>
      </c>
      <c r="K7" s="18" t="str">
        <f t="shared" ca="1" si="1"/>
        <v>June</v>
      </c>
      <c r="L7" t="str">
        <f t="shared" ca="1" si="2"/>
        <v>No</v>
      </c>
      <c r="N7" t="str">
        <f t="shared" si="3"/>
        <v xml:space="preserve">6 UAT activities
</v>
      </c>
      <c r="O7" t="str">
        <f t="shared" si="4"/>
        <v>Product:Product A
Stage:PLANNING</v>
      </c>
      <c r="P7" t="str">
        <f t="shared" ca="1" si="7"/>
        <v>Visible</v>
      </c>
      <c r="Q7" t="str">
        <f t="shared" si="8"/>
        <v>Amber</v>
      </c>
    </row>
    <row r="8" spans="1:17" x14ac:dyDescent="0.25">
      <c r="B8">
        <v>7</v>
      </c>
      <c r="C8" t="s">
        <v>52</v>
      </c>
      <c r="D8" t="s">
        <v>61</v>
      </c>
      <c r="E8">
        <f t="shared" ca="1" si="0"/>
        <v>5</v>
      </c>
      <c r="F8" t="s">
        <v>27</v>
      </c>
      <c r="G8" t="s">
        <v>24</v>
      </c>
      <c r="H8" t="s">
        <v>108</v>
      </c>
      <c r="I8" s="18">
        <f t="shared" ca="1" si="5"/>
        <v>44033</v>
      </c>
      <c r="J8" s="18">
        <f t="shared" ca="1" si="6"/>
        <v>44055</v>
      </c>
      <c r="K8" s="18" t="str">
        <f t="shared" ca="1" si="1"/>
        <v>July</v>
      </c>
      <c r="L8" t="str">
        <f t="shared" ca="1" si="2"/>
        <v>No</v>
      </c>
      <c r="N8" t="str">
        <f t="shared" si="3"/>
        <v xml:space="preserve">7 Backend and Devops
</v>
      </c>
      <c r="O8" t="str">
        <f t="shared" si="4"/>
        <v>Product:Product B
Stage:IN PROGRESS</v>
      </c>
      <c r="P8" t="str">
        <f t="shared" ca="1" si="7"/>
        <v>Hidden</v>
      </c>
      <c r="Q8" t="str">
        <f t="shared" si="8"/>
        <v>RED</v>
      </c>
    </row>
    <row r="9" spans="1:17" x14ac:dyDescent="0.25">
      <c r="B9">
        <v>8</v>
      </c>
      <c r="C9" t="s">
        <v>54</v>
      </c>
      <c r="D9" t="s">
        <v>60</v>
      </c>
      <c r="E9">
        <f t="shared" ca="1" si="0"/>
        <v>3</v>
      </c>
      <c r="F9" t="s">
        <v>55</v>
      </c>
      <c r="G9" t="s">
        <v>70</v>
      </c>
      <c r="H9" t="s">
        <v>9</v>
      </c>
      <c r="I9" s="18">
        <f t="shared" ca="1" si="5"/>
        <v>44055</v>
      </c>
      <c r="J9" s="18">
        <f t="shared" ca="1" si="6"/>
        <v>44079</v>
      </c>
      <c r="K9" s="18" t="str">
        <f t="shared" ca="1" si="1"/>
        <v>August</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47</v>
      </c>
      <c r="D10" t="s">
        <v>61</v>
      </c>
      <c r="E10">
        <f t="shared" ca="1" si="0"/>
        <v>4</v>
      </c>
      <c r="F10" t="s">
        <v>28</v>
      </c>
      <c r="G10" t="s">
        <v>25</v>
      </c>
      <c r="H10" t="s">
        <v>9</v>
      </c>
      <c r="I10" s="18">
        <f ca="1">DATE(YEAR(NOW()),3,1)</f>
        <v>43891</v>
      </c>
      <c r="J10" s="18">
        <f t="shared" ca="1" si="6"/>
        <v>43938</v>
      </c>
      <c r="K10" s="18" t="str">
        <f t="shared" ca="1" si="1"/>
        <v>March</v>
      </c>
      <c r="L10" t="str">
        <f t="shared" ca="1" si="2"/>
        <v>No</v>
      </c>
      <c r="N10" t="str">
        <f t="shared" si="3"/>
        <v xml:space="preserve">9 PID and Business case formally approved
</v>
      </c>
      <c r="O10" t="str">
        <f t="shared" si="4"/>
        <v>Product:Product B
Stage:COMPLETED</v>
      </c>
      <c r="P10" t="str">
        <f t="shared" ca="1" si="7"/>
        <v>Hidden</v>
      </c>
      <c r="Q10" t="str">
        <f t="shared" si="8"/>
        <v>BLUE</v>
      </c>
    </row>
    <row r="11" spans="1:17" x14ac:dyDescent="0.25">
      <c r="B11">
        <v>10</v>
      </c>
      <c r="C11" t="s">
        <v>104</v>
      </c>
      <c r="D11" t="s">
        <v>61</v>
      </c>
      <c r="E11">
        <f t="shared" ca="1" si="0"/>
        <v>5</v>
      </c>
      <c r="F11" t="s">
        <v>26</v>
      </c>
      <c r="G11" t="s">
        <v>25</v>
      </c>
      <c r="H11" t="s">
        <v>9</v>
      </c>
      <c r="I11" s="18">
        <f t="shared" ref="I11:I18" ca="1" si="9">J10</f>
        <v>43938</v>
      </c>
      <c r="J11" s="18">
        <f t="shared" ca="1" si="6"/>
        <v>43957</v>
      </c>
      <c r="K11" s="18" t="str">
        <f t="shared" ca="1" si="1"/>
        <v>April</v>
      </c>
      <c r="L11" t="str">
        <f t="shared" ca="1" si="2"/>
        <v>No</v>
      </c>
      <c r="N11" t="str">
        <f t="shared" si="3"/>
        <v xml:space="preserve">10 User Stories
</v>
      </c>
      <c r="O11" t="str">
        <f t="shared" si="4"/>
        <v>Product:Product B
Stage:COMPLETED</v>
      </c>
      <c r="P11" t="str">
        <f t="shared" ca="1" si="7"/>
        <v>Hidden</v>
      </c>
      <c r="Q11" t="str">
        <f t="shared" si="8"/>
        <v>BLUE</v>
      </c>
    </row>
    <row r="12" spans="1:17" x14ac:dyDescent="0.25">
      <c r="B12">
        <v>11</v>
      </c>
      <c r="C12" t="s">
        <v>48</v>
      </c>
      <c r="D12" t="s">
        <v>61</v>
      </c>
      <c r="E12">
        <f t="shared" ca="1" si="0"/>
        <v>3</v>
      </c>
      <c r="F12" t="s">
        <v>55</v>
      </c>
      <c r="G12" t="s">
        <v>24</v>
      </c>
      <c r="H12" t="s">
        <v>9</v>
      </c>
      <c r="I12" s="18">
        <f t="shared" ca="1" si="9"/>
        <v>43957</v>
      </c>
      <c r="J12" s="18">
        <f t="shared" ca="1" si="6"/>
        <v>43988</v>
      </c>
      <c r="K12" s="18" t="str">
        <f t="shared" ca="1" si="1"/>
        <v>May</v>
      </c>
      <c r="L12" t="str">
        <f t="shared" ca="1" si="2"/>
        <v>No</v>
      </c>
      <c r="N12" t="str">
        <f t="shared" si="3"/>
        <v xml:space="preserve">11 First MVP
</v>
      </c>
      <c r="O12" t="str">
        <f t="shared" si="4"/>
        <v>Product:Product B
Stage:IN PROGRESS</v>
      </c>
      <c r="P12" t="str">
        <f t="shared" ca="1" si="7"/>
        <v>Visible</v>
      </c>
      <c r="Q12" t="str">
        <f t="shared" si="8"/>
        <v>Green</v>
      </c>
    </row>
    <row r="13" spans="1:17" x14ac:dyDescent="0.25">
      <c r="B13">
        <v>12</v>
      </c>
      <c r="C13" t="s">
        <v>50</v>
      </c>
      <c r="D13" t="s">
        <v>61</v>
      </c>
      <c r="E13">
        <f t="shared" ca="1" si="0"/>
        <v>3</v>
      </c>
      <c r="F13" t="s">
        <v>26</v>
      </c>
      <c r="G13" t="s">
        <v>24</v>
      </c>
      <c r="H13" t="s">
        <v>35</v>
      </c>
      <c r="I13" s="18">
        <f t="shared" ca="1" si="9"/>
        <v>43988</v>
      </c>
      <c r="J13" s="18">
        <f t="shared" ca="1" si="6"/>
        <v>44045</v>
      </c>
      <c r="K13" s="18" t="str">
        <f t="shared" ca="1" si="1"/>
        <v>June</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51</v>
      </c>
      <c r="D14" t="s">
        <v>61</v>
      </c>
      <c r="E14">
        <f t="shared" ca="1" si="0"/>
        <v>4</v>
      </c>
      <c r="F14" t="s">
        <v>55</v>
      </c>
      <c r="G14" t="s">
        <v>70</v>
      </c>
      <c r="H14" t="s">
        <v>35</v>
      </c>
      <c r="I14" s="18">
        <f t="shared" ca="1" si="9"/>
        <v>44045</v>
      </c>
      <c r="J14" s="18">
        <f t="shared" ca="1" si="6"/>
        <v>44091</v>
      </c>
      <c r="K14" s="18" t="str">
        <f t="shared" ca="1" si="1"/>
        <v>August</v>
      </c>
      <c r="L14" t="str">
        <f t="shared" ca="1" si="2"/>
        <v>No</v>
      </c>
      <c r="N14" t="str">
        <f t="shared" si="3"/>
        <v xml:space="preserve">13 UX and Branding
</v>
      </c>
      <c r="O14" t="str">
        <f t="shared" si="4"/>
        <v>Product:Product B
Stage:PLANNING</v>
      </c>
      <c r="P14" t="str">
        <f t="shared" ca="1" si="7"/>
        <v>Hidden</v>
      </c>
      <c r="Q14" t="str">
        <f t="shared" si="8"/>
        <v>Amber</v>
      </c>
    </row>
    <row r="15" spans="1:17" x14ac:dyDescent="0.25">
      <c r="B15">
        <v>14</v>
      </c>
      <c r="C15" t="s">
        <v>53</v>
      </c>
      <c r="D15" t="s">
        <v>61</v>
      </c>
      <c r="E15">
        <f t="shared" ca="1" si="0"/>
        <v>5</v>
      </c>
      <c r="F15" t="s">
        <v>55</v>
      </c>
      <c r="G15" t="s">
        <v>70</v>
      </c>
      <c r="H15" t="s">
        <v>9</v>
      </c>
      <c r="I15" s="18">
        <f t="shared" ca="1" si="9"/>
        <v>44091</v>
      </c>
      <c r="J15" s="18">
        <f t="shared" ca="1" si="6"/>
        <v>44133</v>
      </c>
      <c r="K15" s="18" t="str">
        <f t="shared" ca="1" si="1"/>
        <v>September</v>
      </c>
      <c r="L15" t="str">
        <f t="shared" ca="1" si="2"/>
        <v>No</v>
      </c>
      <c r="N15" t="str">
        <f t="shared" si="3"/>
        <v xml:space="preserve">14 Release 1
</v>
      </c>
      <c r="O15" t="str">
        <f t="shared" si="4"/>
        <v>Product:Product B
Stage:PLANNING</v>
      </c>
      <c r="P15" t="str">
        <f t="shared" ca="1" si="7"/>
        <v>Hidden</v>
      </c>
      <c r="Q15" t="str">
        <f t="shared" si="8"/>
        <v>Green</v>
      </c>
    </row>
    <row r="16" spans="1:17" x14ac:dyDescent="0.25">
      <c r="B16">
        <v>15</v>
      </c>
      <c r="C16" t="s">
        <v>54</v>
      </c>
      <c r="D16" t="s">
        <v>61</v>
      </c>
      <c r="E16">
        <f t="shared" ca="1" si="0"/>
        <v>1</v>
      </c>
      <c r="F16" t="s">
        <v>55</v>
      </c>
      <c r="G16" t="s">
        <v>70</v>
      </c>
      <c r="H16" t="s">
        <v>9</v>
      </c>
      <c r="I16" s="18">
        <f t="shared" ca="1" si="9"/>
        <v>44133</v>
      </c>
      <c r="J16" s="18">
        <f t="shared" ca="1" si="6"/>
        <v>44177</v>
      </c>
      <c r="K16" s="18" t="str">
        <f t="shared" ca="1" si="1"/>
        <v>October</v>
      </c>
      <c r="L16" t="str">
        <f t="shared" ca="1" si="2"/>
        <v>No</v>
      </c>
      <c r="N16" t="str">
        <f t="shared" si="3"/>
        <v xml:space="preserve">15 Release 2
</v>
      </c>
      <c r="O16" t="str">
        <f t="shared" si="4"/>
        <v>Product:Product B
Stage:PLANNING</v>
      </c>
      <c r="P16" t="str">
        <f t="shared" ca="1" si="7"/>
        <v>Visible</v>
      </c>
      <c r="Q16" t="str">
        <f t="shared" si="8"/>
        <v>Green</v>
      </c>
    </row>
    <row r="17" spans="2:17" x14ac:dyDescent="0.25">
      <c r="B17">
        <v>16</v>
      </c>
      <c r="C17" t="s">
        <v>103</v>
      </c>
      <c r="D17" t="s">
        <v>61</v>
      </c>
      <c r="E17">
        <f t="shared" ca="1" si="0"/>
        <v>5</v>
      </c>
      <c r="F17" t="s">
        <v>55</v>
      </c>
      <c r="G17" t="s">
        <v>70</v>
      </c>
      <c r="H17" t="s">
        <v>9</v>
      </c>
      <c r="I17" s="18">
        <f t="shared" ca="1" si="9"/>
        <v>44177</v>
      </c>
      <c r="J17" s="18">
        <f t="shared" ca="1" si="6"/>
        <v>44232</v>
      </c>
      <c r="K17" s="18" t="str">
        <f t="shared" ca="1" si="1"/>
        <v>December</v>
      </c>
      <c r="L17" t="str">
        <f t="shared" ca="1" si="2"/>
        <v>No</v>
      </c>
      <c r="N17" t="str">
        <f t="shared" si="3"/>
        <v xml:space="preserve">16 Release 3
</v>
      </c>
      <c r="O17" t="str">
        <f t="shared" si="4"/>
        <v>Product:Product B
Stage:PLANNING</v>
      </c>
      <c r="P17" t="str">
        <f t="shared" ca="1" si="7"/>
        <v>Hidden</v>
      </c>
      <c r="Q17" t="str">
        <f t="shared" si="8"/>
        <v>Green</v>
      </c>
    </row>
    <row r="18" spans="2:17" x14ac:dyDescent="0.25">
      <c r="B18">
        <v>19</v>
      </c>
      <c r="C18" t="s">
        <v>47</v>
      </c>
      <c r="D18" t="s">
        <v>62</v>
      </c>
      <c r="E18">
        <f t="shared" ca="1" si="0"/>
        <v>2</v>
      </c>
      <c r="F18" t="s">
        <v>55</v>
      </c>
      <c r="G18" t="s">
        <v>72</v>
      </c>
      <c r="H18" t="s">
        <v>9</v>
      </c>
      <c r="I18" s="18">
        <f t="shared" ca="1" si="9"/>
        <v>44232</v>
      </c>
      <c r="J18" s="18">
        <f t="shared" ca="1" si="6"/>
        <v>44238</v>
      </c>
      <c r="K18" s="18" t="str">
        <f t="shared" ca="1" si="1"/>
        <v>Other</v>
      </c>
      <c r="L18" t="str">
        <f t="shared" ca="1" si="2"/>
        <v>No</v>
      </c>
      <c r="M18" t="s">
        <v>107</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45</v>
      </c>
      <c r="D19" t="s">
        <v>62</v>
      </c>
      <c r="E19">
        <f t="shared" ca="1" si="0"/>
        <v>1</v>
      </c>
      <c r="F19" t="s">
        <v>26</v>
      </c>
      <c r="G19" t="s">
        <v>72</v>
      </c>
      <c r="H19" t="s">
        <v>9</v>
      </c>
      <c r="I19" s="18">
        <f ca="1">DATE(YEAR(NOW()),6,1)</f>
        <v>43983</v>
      </c>
      <c r="J19" s="18">
        <f t="shared" ca="1" si="6"/>
        <v>44036</v>
      </c>
      <c r="K19" s="18" t="str">
        <f t="shared" ca="1" si="1"/>
        <v>June</v>
      </c>
      <c r="L19" t="str">
        <f t="shared" ca="1" si="2"/>
        <v>No</v>
      </c>
      <c r="N19" t="str">
        <f t="shared" si="3"/>
        <v xml:space="preserve">20 Requirement gathering
</v>
      </c>
      <c r="O19" t="str">
        <f t="shared" si="4"/>
        <v>Product:Product C
Stage:PIPELINE</v>
      </c>
      <c r="P19" t="str">
        <f t="shared" ca="1" si="7"/>
        <v>Visible</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88</v>
      </c>
      <c r="B1" t="s">
        <v>0</v>
      </c>
      <c r="C1" t="s">
        <v>89</v>
      </c>
    </row>
    <row r="2" spans="1:3" x14ac:dyDescent="0.25">
      <c r="A2" t="s">
        <v>87</v>
      </c>
      <c r="B2" t="s">
        <v>109</v>
      </c>
      <c r="C2" t="s">
        <v>90</v>
      </c>
    </row>
    <row r="3" spans="1:3" x14ac:dyDescent="0.25">
      <c r="A3" t="s">
        <v>86</v>
      </c>
      <c r="B3" t="s">
        <v>121</v>
      </c>
      <c r="C3" t="s">
        <v>91</v>
      </c>
    </row>
    <row r="4" spans="1:3" x14ac:dyDescent="0.25">
      <c r="A4" t="s">
        <v>73</v>
      </c>
      <c r="B4" t="s">
        <v>68</v>
      </c>
      <c r="C4" t="s">
        <v>92</v>
      </c>
    </row>
    <row r="5" spans="1:3" x14ac:dyDescent="0.25">
      <c r="A5" t="s">
        <v>85</v>
      </c>
      <c r="B5" t="s">
        <v>122</v>
      </c>
      <c r="C5" t="s">
        <v>93</v>
      </c>
    </row>
    <row r="6" spans="1:3" x14ac:dyDescent="0.25">
      <c r="A6" t="s">
        <v>34</v>
      </c>
      <c r="B6">
        <v>2</v>
      </c>
      <c r="C6" t="s">
        <v>94</v>
      </c>
    </row>
    <row r="7" spans="1:3" x14ac:dyDescent="0.25">
      <c r="A7" t="s">
        <v>84</v>
      </c>
      <c r="B7" t="s">
        <v>37</v>
      </c>
      <c r="C7" t="s">
        <v>95</v>
      </c>
    </row>
    <row r="8" spans="1:3" x14ac:dyDescent="0.25">
      <c r="A8" t="s">
        <v>115</v>
      </c>
      <c r="B8" t="s">
        <v>1</v>
      </c>
      <c r="C8" t="s">
        <v>114</v>
      </c>
    </row>
    <row r="9" spans="1:3" x14ac:dyDescent="0.25">
      <c r="A9" t="s">
        <v>116</v>
      </c>
      <c r="B9" t="s">
        <v>30</v>
      </c>
      <c r="C9" t="s">
        <v>113</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44</v>
      </c>
    </row>
    <row r="2" spans="1:3" x14ac:dyDescent="0.25">
      <c r="A2" t="s">
        <v>32</v>
      </c>
      <c r="B2" t="s">
        <v>33</v>
      </c>
      <c r="C2" t="s">
        <v>111</v>
      </c>
    </row>
    <row r="3" spans="1:3" x14ac:dyDescent="0.25">
      <c r="A3" t="s">
        <v>110</v>
      </c>
      <c r="B3" t="s">
        <v>1</v>
      </c>
      <c r="C3" t="s">
        <v>114</v>
      </c>
    </row>
    <row r="4" spans="1:3" x14ac:dyDescent="0.25">
      <c r="A4" t="s">
        <v>112</v>
      </c>
      <c r="B4" t="s">
        <v>30</v>
      </c>
      <c r="C4" t="s">
        <v>113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65</v>
      </c>
    </row>
    <row r="3" spans="1:2" x14ac:dyDescent="0.25">
      <c r="A3" t="s">
        <v>66</v>
      </c>
      <c r="B3" t="s">
        <v>67</v>
      </c>
    </row>
    <row r="4" spans="1:2" x14ac:dyDescent="0.25">
      <c r="A4" t="s">
        <v>23</v>
      </c>
      <c r="B4" t="s">
        <v>29</v>
      </c>
    </row>
    <row r="5" spans="1:2" x14ac:dyDescent="0.25">
      <c r="A5" t="s">
        <v>81</v>
      </c>
    </row>
    <row r="6" spans="1:2" x14ac:dyDescent="0.25">
      <c r="A6" t="s">
        <v>82</v>
      </c>
    </row>
    <row r="7" spans="1:2" x14ac:dyDescent="0.25">
      <c r="A7" t="s">
        <v>83</v>
      </c>
    </row>
    <row r="8" spans="1:2" x14ac:dyDescent="0.25">
      <c r="A8" t="s">
        <v>13</v>
      </c>
      <c r="B8" s="15" t="s">
        <v>64</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43</v>
      </c>
      <c r="B13" s="15"/>
    </row>
    <row r="14" spans="1:2" x14ac:dyDescent="0.25">
      <c r="A14" t="s">
        <v>56</v>
      </c>
      <c r="B14" s="15" t="s">
        <v>68</v>
      </c>
    </row>
    <row r="15" spans="1:2" x14ac:dyDescent="0.25">
      <c r="A15" t="s">
        <v>38</v>
      </c>
      <c r="B15" s="15" t="s">
        <v>17</v>
      </c>
    </row>
    <row r="16" spans="1:2" x14ac:dyDescent="0.25">
      <c r="A16" t="s">
        <v>39</v>
      </c>
      <c r="B16" s="15" t="s">
        <v>17</v>
      </c>
    </row>
    <row r="17" spans="1:2" x14ac:dyDescent="0.25">
      <c r="A17" t="s">
        <v>80</v>
      </c>
    </row>
    <row r="18" spans="1:2" x14ac:dyDescent="0.25">
      <c r="A18" t="s">
        <v>41</v>
      </c>
      <c r="B18" s="15" t="s">
        <v>42</v>
      </c>
    </row>
    <row r="19" spans="1:2" x14ac:dyDescent="0.25">
      <c r="A19" t="s">
        <v>77</v>
      </c>
      <c r="B19" s="15">
        <v>13</v>
      </c>
    </row>
    <row r="20" spans="1:2" x14ac:dyDescent="0.25">
      <c r="A20" t="s">
        <v>75</v>
      </c>
    </row>
    <row r="21" spans="1:2" x14ac:dyDescent="0.25">
      <c r="A21" t="s">
        <v>76</v>
      </c>
    </row>
    <row r="22" spans="1:2" x14ac:dyDescent="0.25">
      <c r="A22" t="s">
        <v>74</v>
      </c>
    </row>
    <row r="23" spans="1:2" x14ac:dyDescent="0.25">
      <c r="A23" t="s">
        <v>78</v>
      </c>
    </row>
    <row r="24" spans="1:2" x14ac:dyDescent="0.25">
      <c r="A24" t="s">
        <v>79</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7"/>
  <sheetViews>
    <sheetView tabSelected="1" workbookViewId="0">
      <selection activeCell="I10" sqref="I10"/>
    </sheetView>
  </sheetViews>
  <sheetFormatPr defaultRowHeight="15" x14ac:dyDescent="0.25"/>
  <cols>
    <col min="1" max="1" width="24.28515625" bestFit="1" customWidth="1"/>
  </cols>
  <sheetData>
    <row r="1" spans="1:3" x14ac:dyDescent="0.25">
      <c r="A1" t="s">
        <v>57</v>
      </c>
      <c r="B1">
        <v>130</v>
      </c>
      <c r="C1" t="s">
        <v>97</v>
      </c>
    </row>
    <row r="2" spans="1:3" x14ac:dyDescent="0.25">
      <c r="A2" t="s">
        <v>58</v>
      </c>
      <c r="B2">
        <v>80</v>
      </c>
      <c r="C2" t="s">
        <v>96</v>
      </c>
    </row>
    <row r="3" spans="1:3" x14ac:dyDescent="0.25">
      <c r="A3" t="s">
        <v>59</v>
      </c>
      <c r="B3">
        <v>10</v>
      </c>
      <c r="C3" t="s">
        <v>100</v>
      </c>
    </row>
    <row r="4" spans="1:3" x14ac:dyDescent="0.25">
      <c r="A4" t="s">
        <v>22</v>
      </c>
      <c r="B4">
        <v>1</v>
      </c>
      <c r="C4" t="s">
        <v>98</v>
      </c>
    </row>
    <row r="5" spans="1:3" x14ac:dyDescent="0.25">
      <c r="A5" t="s">
        <v>36</v>
      </c>
      <c r="B5">
        <v>2</v>
      </c>
      <c r="C5" t="s">
        <v>99</v>
      </c>
    </row>
    <row r="6" spans="1:3" x14ac:dyDescent="0.25">
      <c r="A6" t="s">
        <v>117</v>
      </c>
      <c r="B6">
        <v>0.2</v>
      </c>
      <c r="C6" t="s">
        <v>119</v>
      </c>
    </row>
    <row r="7" spans="1:3" x14ac:dyDescent="0.25">
      <c r="A7" t="s">
        <v>118</v>
      </c>
      <c r="B7">
        <v>1</v>
      </c>
      <c r="C7" t="s">
        <v>120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65</v>
      </c>
      <c r="C2" s="12"/>
      <c r="D2" s="11"/>
      <c r="E2" s="11"/>
      <c r="F2" s="11"/>
      <c r="G2" s="11"/>
      <c r="H2" s="11"/>
    </row>
    <row r="3" spans="1:8" ht="92.25" customHeight="1" thickBot="1" x14ac:dyDescent="0.75">
      <c r="B3" s="10"/>
      <c r="C3" s="10" t="s">
        <v>72</v>
      </c>
      <c r="D3" s="10" t="s">
        <v>70</v>
      </c>
      <c r="E3" s="10" t="s">
        <v>24</v>
      </c>
      <c r="F3" s="10" t="s">
        <v>71</v>
      </c>
      <c r="G3" s="12" t="s">
        <v>25</v>
      </c>
      <c r="H3" s="10" t="s">
        <v>69</v>
      </c>
    </row>
    <row r="4" spans="1:8" ht="97.9" customHeight="1" x14ac:dyDescent="0.7">
      <c r="B4" s="10" t="s">
        <v>60</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61</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62</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65</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72</v>
      </c>
      <c r="D3" s="10" t="s">
        <v>70</v>
      </c>
      <c r="E3" s="10" t="s">
        <v>24</v>
      </c>
      <c r="F3" s="10" t="s">
        <v>71</v>
      </c>
      <c r="G3" s="10" t="s">
        <v>25</v>
      </c>
      <c r="H3" s="10" t="s">
        <v>25</v>
      </c>
    </row>
    <row r="4" spans="1:8" ht="81" customHeight="1" x14ac:dyDescent="0.7">
      <c r="A4" s="21" t="s">
        <v>63</v>
      </c>
      <c r="B4" s="10" t="s">
        <v>60</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60</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60</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60</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61</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61</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61</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61</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62</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62</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2020-05-25T11:55:41Z</dcterms:modified>
</cp:coreProperties>
</file>