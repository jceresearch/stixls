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1E3CA684-26F6-4630-BA70-EECF16FF882D}" xr6:coauthVersionLast="34" xr6:coauthVersionMax="34" xr10:uidLastSave="{00000000-0000-0000-0000-000000000000}"/>
  <bookViews>
    <workbookView xWindow="825" yWindow="1500" windowWidth="14535" windowHeight="2130" tabRatio="80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9"/>
  <definedNames>
    <definedName name="Template1">Template1!$B$2:$H$14</definedName>
    <definedName name="Template2">Template2!$B$2:$H$14</definedName>
  </definedNames>
  <calcPr calcId="179021"/>
</workbook>
</file>

<file path=xl/calcChain.xml><?xml version="1.0" encoding="utf-8"?>
<calcChain xmlns="http://schemas.openxmlformats.org/spreadsheetml/2006/main">
  <c r="B2" i="59" l="1"/>
  <c r="B1" i="59"/>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espasanj</author>
  </authors>
  <commentList>
    <comment ref="A14" authorId="0" shapeId="0" xr:uid="{00000000-0006-0000-0400-000001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<sst xmlns="http://schemas.openxmlformats.org/spreadsheetml/2006/main" count="220" uniqueCount="111">
  <si>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</si>
  <si>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</si>
  <si>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</si>
  <si>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</si>
  <si>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</si>
  <si>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</si>
  <si>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</si>
  <si>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</si>
  <si>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</si>
  <si>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</si>
  <si>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</si>
  <si>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</si>
  <si>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</si>
  <si>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</si>
  <si>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</si>
  <si>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</si>
  <si>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</si>
  <si>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</si>
  <si>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</si>
  <si>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</si>
  <si>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</si>
  <si>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</si>
  <si>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</si>
  <si>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</si>
  <si>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</si>
  <si>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</si>
  <si>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</si>
  <si>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</si>
  <si>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</si>
  <si>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</si>
  <si>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</si>
  <si>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</si>
  <si>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</si>
  <si>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</si>
  <si>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</si>
  <si>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</si>
  <si>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</si>
  <si>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</si>
  <si>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</si>
  <si>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</si>
  <si>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</si>
  <si>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</si>
  <si>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</si>
  <si>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</si>
  <si>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</si>
  <si>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</si>
  <si>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</si>
  <si>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</si>
  <si>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</si>
  <si>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</si>
  <si>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</si>
  <si>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</si>
  <si>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</si>
  <si>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</si>
  <si>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</si>
  <si>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</si>
  <si>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</si>
  <si>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</si>
  <si>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</si>
  <si>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</si>
  <si>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</si>
  <si>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</si>
  <si>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</si>
  <si>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</si>
  <si>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</si>
  <si>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</si>
  <si>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</si>
  <si>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</si>
  <si>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</si>
  <si>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</si>
  <si>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</si>
  <si>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</si>
  <si>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</si>
  <si>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</si>
  <si>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</si>
  <si>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</si>
  <si>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</si>
  <si>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</si>
  <si>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</si>
  <si>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</si>
  <si>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</si>
  <si>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</si>
  <si>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</si>
  <si>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</si>
  <si>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app_name</t>
  </si>
  <si>
    <t>StickyBoardApp.xlsm</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</si>
  <si>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</si>
  <si>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</si>
  <si>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</si>
  <si>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</si>
  <si>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</si>
  <si>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</si>
  <si>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</si>
  <si>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</si>
  <si>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</si>
  <si>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</si>
  <si>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</si>
  <si>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</si>
  <si>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</si>
  <si>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</si>
  <si>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</si>
  <si>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</si>
  <si>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</si>
  <si>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</si>
  <si>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</si>
  <si>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</si>
  <si>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</si>
  <si>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</si>
  <si>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</si>
  <si>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</si>
  <si>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Board20180811103155.xlsx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</si>
</sst>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abSelected="1" zoomScale="70" zoomScaleNormal="70" workbookViewId="0">
      <selection activeCell="B25" sqref="B25"/>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P12"/>
  <sheetViews>
    <sheetView zoomScale="85" zoomScaleNormal="85" workbookViewId="0">
      <selection activeCell="F1" sqref="F1"/>
    </sheetView>
  </sheetViews>
  <sheetFormatPr defaultRowHeight="15" x14ac:dyDescent="0.25"/>
  <cols>
    <col min="1" max="1" width="4.85546875" bestFit="1" customWidth="1"/>
    <col min="2" max="2" width="3.7109375" bestFit="1" customWidth="1"/>
    <col min="3" max="3" width="9.42578125" bestFit="1" customWidth="1"/>
    <col min="4" max="4" width="9.7109375" bestFit="1" customWidth="1"/>
    <col min="5" max="5" width="10.140625" bestFit="1" customWidth="1"/>
    <col min="6" max="6" width="10.42578125" bestFit="1" customWidth="1"/>
    <col min="7" max="7" width="9.42578125" bestFit="1" customWidth="1"/>
    <col min="8" max="9" width="10.85546875" bestFit="1" customWidth="1"/>
    <col min="10" max="10" width="7.85546875" bestFit="1" customWidth="1"/>
    <col min="11" max="11" width="25.140625" customWidth="1"/>
    <col min="12" max="12" width="26.140625" customWidth="1"/>
    <col min="13" max="13" width="32.28515625" bestFit="1" customWidth="1"/>
    <col min="14" max="14" width="42.42578125" customWidth="1"/>
    <col min="15" max="15" width="13.42578125" bestFit="1" customWidth="1"/>
  </cols>
  <sheetData>
    <row r="1" spans="1:16"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x14ac:dyDescent="0.25">
      <c r="A2">
        <v>2</v>
      </c>
      <c r="B2">
        <v>1</v>
      </c>
      <c r="C2" t="s">
        <v>55</v>
      </c>
      <c r="D2" t="s">
        <v>76</v>
      </c>
      <c r="E2" t="s">
        <v>28</v>
      </c>
      <c r="F2" t="s">
        <v>92</v>
      </c>
      <c r="G2" t="s">
        <v>10</v>
      </c>
      <c r="H2" s="18">
        <f ca="1">DATE(YEAR(NOW()),1,1)</f>
        <v>43101</v>
      </c>
      <c r="I2" s="18">
        <f ca="1">H2+ROUND(RANDBETWEEN(1,60),0)</f>
        <v>43104</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x14ac:dyDescent="0.25">
      <c r="A3">
        <v>3</v>
      </c>
      <c r="B3">
        <v>2</v>
      </c>
      <c r="C3" t="s">
        <v>56</v>
      </c>
      <c r="D3" t="s">
        <v>76</v>
      </c>
      <c r="E3" t="s">
        <v>29</v>
      </c>
      <c r="F3" t="s">
        <v>26</v>
      </c>
      <c r="G3" t="s">
        <v>10</v>
      </c>
      <c r="H3" s="18">
        <f ca="1">I2</f>
        <v>43104</v>
      </c>
      <c r="I3" s="18">
        <f t="shared" ref="I3:I12" ca="1" si="0">H3+ROUND(RANDBETWEEN(1,60),0)</f>
        <v>43157</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x14ac:dyDescent="0.25">
      <c r="A4">
        <v>4</v>
      </c>
      <c r="B4">
        <v>3</v>
      </c>
      <c r="C4" t="s">
        <v>57</v>
      </c>
      <c r="D4" t="s">
        <v>77</v>
      </c>
      <c r="E4" t="s">
        <v>30</v>
      </c>
      <c r="F4" t="s">
        <v>26</v>
      </c>
      <c r="G4" t="s">
        <v>10</v>
      </c>
      <c r="H4" s="18">
        <f t="shared" ref="H4:H12" ca="1" si="6">I3</f>
        <v>43157</v>
      </c>
      <c r="I4" s="18">
        <f t="shared" ca="1" si="0"/>
        <v>43205</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25">
      <c r="A5">
        <v>5</v>
      </c>
      <c r="B5">
        <v>4</v>
      </c>
      <c r="C5" t="s">
        <v>58</v>
      </c>
      <c r="D5" t="s">
        <v>76</v>
      </c>
      <c r="E5" t="s">
        <v>29</v>
      </c>
      <c r="F5" t="s">
        <v>26</v>
      </c>
      <c r="G5" t="s">
        <v>33</v>
      </c>
      <c r="H5" s="18">
        <f t="shared" ca="1" si="6"/>
        <v>43205</v>
      </c>
      <c r="I5" s="18">
        <f t="shared" ca="1" si="0"/>
        <v>43206</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25">
      <c r="A6">
        <v>6</v>
      </c>
      <c r="B6">
        <v>5</v>
      </c>
      <c r="C6" t="s">
        <v>59</v>
      </c>
      <c r="D6" t="s">
        <v>76</v>
      </c>
      <c r="E6" t="s">
        <v>28</v>
      </c>
      <c r="F6" t="s">
        <v>26</v>
      </c>
      <c r="G6" t="s">
        <v>38</v>
      </c>
      <c r="H6" s="18">
        <f t="shared" ca="1" si="6"/>
        <v>43206</v>
      </c>
      <c r="I6" s="18">
        <f t="shared" ca="1" si="0"/>
        <v>43223</v>
      </c>
      <c r="J6" t="str">
        <f t="shared" ca="1" si="1"/>
        <v>Yes</v>
      </c>
      <c r="L6" t="str">
        <f t="shared" si="2"/>
        <v xml:space="preserve">5 UAT activities
</v>
      </c>
      <c r="M6" t="str">
        <f t="shared" si="3"/>
        <v>AssignedTo:ANNA
Product:Product A</v>
      </c>
      <c r="N6" t="str">
        <f t="shared" si="4"/>
        <v>Product:Product A
Stage:IN PROGRESS</v>
      </c>
      <c r="P6" t="str">
        <f t="shared" si="5"/>
        <v>Amber</v>
      </c>
    </row>
    <row r="7" spans="1:16" x14ac:dyDescent="0.25">
      <c r="A7">
        <v>7</v>
      </c>
      <c r="B7">
        <v>6</v>
      </c>
      <c r="C7" t="s">
        <v>60</v>
      </c>
      <c r="D7" t="s">
        <v>77</v>
      </c>
      <c r="E7" t="s">
        <v>28</v>
      </c>
      <c r="F7" t="s">
        <v>92</v>
      </c>
      <c r="G7" t="s">
        <v>38</v>
      </c>
      <c r="H7" s="18">
        <f t="shared" ca="1" si="6"/>
        <v>43223</v>
      </c>
      <c r="I7" s="18">
        <f t="shared" ca="1" si="0"/>
        <v>43256</v>
      </c>
      <c r="J7" t="str">
        <f t="shared" ca="1" si="1"/>
        <v>Yes</v>
      </c>
      <c r="L7" t="str">
        <f t="shared" si="2"/>
        <v xml:space="preserve">6 Focus groups
</v>
      </c>
      <c r="M7" t="str">
        <f t="shared" si="3"/>
        <v>AssignedTo:ANNA
Product:Product B</v>
      </c>
      <c r="N7" t="str">
        <f t="shared" si="4"/>
        <v>Product:Product B
Stage:PIPELINE</v>
      </c>
      <c r="P7" t="str">
        <f t="shared" si="5"/>
        <v>DEFAULT</v>
      </c>
    </row>
    <row r="8" spans="1:16" x14ac:dyDescent="0.25">
      <c r="A8">
        <v>8</v>
      </c>
      <c r="B8">
        <v>7</v>
      </c>
      <c r="C8" t="s">
        <v>61</v>
      </c>
      <c r="D8" t="s">
        <v>77</v>
      </c>
      <c r="E8" t="s">
        <v>68</v>
      </c>
      <c r="F8" t="s">
        <v>27</v>
      </c>
      <c r="G8" t="s">
        <v>38</v>
      </c>
      <c r="H8" s="18">
        <f t="shared" ca="1" si="6"/>
        <v>43256</v>
      </c>
      <c r="I8" s="18">
        <f t="shared" ca="1" si="0"/>
        <v>43286</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25">
      <c r="A9">
        <v>9</v>
      </c>
      <c r="B9">
        <v>8</v>
      </c>
      <c r="C9" t="s">
        <v>62</v>
      </c>
      <c r="D9" t="s">
        <v>77</v>
      </c>
      <c r="E9" t="s">
        <v>29</v>
      </c>
      <c r="F9" t="s">
        <v>26</v>
      </c>
      <c r="G9" t="s">
        <v>10</v>
      </c>
      <c r="H9" s="18">
        <f t="shared" ca="1" si="6"/>
        <v>43286</v>
      </c>
      <c r="I9" s="18">
        <f t="shared" ca="1" si="0"/>
        <v>43319</v>
      </c>
      <c r="J9" t="str">
        <f t="shared" ca="1" si="1"/>
        <v>Yes</v>
      </c>
      <c r="L9" t="str">
        <f t="shared" si="2"/>
        <v xml:space="preserve">8 Backend and Devops
</v>
      </c>
      <c r="M9" t="str">
        <f t="shared" si="3"/>
        <v>AssignedTo:BOB
Product:Product B</v>
      </c>
      <c r="N9" t="str">
        <f t="shared" si="4"/>
        <v>Product:Product B
Stage:IN PROGRESS</v>
      </c>
      <c r="P9" t="str">
        <f t="shared" si="5"/>
        <v>Green</v>
      </c>
    </row>
    <row r="10" spans="1:16" x14ac:dyDescent="0.25">
      <c r="A10">
        <v>10</v>
      </c>
      <c r="B10">
        <v>9</v>
      </c>
      <c r="C10" t="s">
        <v>63</v>
      </c>
      <c r="D10" t="s">
        <v>77</v>
      </c>
      <c r="E10" t="s">
        <v>66</v>
      </c>
      <c r="F10" t="s">
        <v>26</v>
      </c>
      <c r="G10" t="s">
        <v>10</v>
      </c>
      <c r="H10" s="18">
        <f t="shared" ca="1" si="6"/>
        <v>43319</v>
      </c>
      <c r="I10" s="18">
        <f t="shared" ca="1" si="0"/>
        <v>43347</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25">
      <c r="A11">
        <v>11</v>
      </c>
      <c r="B11">
        <v>10</v>
      </c>
      <c r="C11" t="s">
        <v>64</v>
      </c>
      <c r="D11" t="s">
        <v>77</v>
      </c>
      <c r="E11" t="s">
        <v>66</v>
      </c>
      <c r="F11" t="s">
        <v>26</v>
      </c>
      <c r="G11" t="s">
        <v>10</v>
      </c>
      <c r="H11" s="18">
        <f t="shared" ca="1" si="6"/>
        <v>43347</v>
      </c>
      <c r="I11" s="18">
        <f t="shared" ca="1" si="0"/>
        <v>43391</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25">
      <c r="A12">
        <v>12</v>
      </c>
      <c r="B12">
        <v>11</v>
      </c>
      <c r="C12" t="s">
        <v>65</v>
      </c>
      <c r="D12" t="s">
        <v>77</v>
      </c>
      <c r="E12" t="s">
        <v>68</v>
      </c>
      <c r="F12" t="s">
        <v>26</v>
      </c>
      <c r="G12" t="s">
        <v>10</v>
      </c>
      <c r="H12" s="18">
        <f t="shared" ca="1" si="6"/>
        <v>43391</v>
      </c>
      <c r="I12" s="18">
        <f t="shared" ca="1" si="0"/>
        <v>43414</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B13"/>
  <sheetViews>
    <sheetView zoomScaleNormal="100" workbookViewId="0">
      <selection activeCell="C7" sqref="C7"/>
    </sheetView>
  </sheetViews>
  <sheetFormatPr defaultRowHeight="15" x14ac:dyDescent="0.25"/>
  <cols>
    <col min="1" max="1" width="28.28515625" customWidth="1"/>
    <col min="2" max="2" width="21.85546875" customWidth="1"/>
  </cols>
  <sheetData>
    <row r="1" spans="1:2" x14ac:dyDescent="0.25">
      <c r="A1" t="s">
        <v>108</v>
      </c>
      <c r="B1" t="s">
        <v>1</v>
      </c>
    </row>
    <row r="2" spans="1:2" x14ac:dyDescent="0.25">
      <c r="A2" t="s">
        <v>107</v>
      </c>
      <c r="B2" t="s">
        <v>0</v>
      </c>
    </row>
    <row r="3" spans="1:2" x14ac:dyDescent="0.25">
      <c r="A3" t="s">
        <v>106</v>
      </c>
      <c r="B3" t="s">
        <v>110</v>
      </c>
    </row>
    <row r="4" spans="1:2" x14ac:dyDescent="0.25">
      <c r="A4" t="s">
        <v>93</v>
      </c>
      <c r="B4" t="s">
        <v>88</v>
      </c>
    </row>
    <row r="5" spans="1:2" x14ac:dyDescent="0.25">
      <c r="A5" t="s">
        <v>105</v>
      </c>
      <c r="B5" t="s">
        <v>0</v>
      </c>
    </row>
    <row r="6" spans="1:2" x14ac:dyDescent="0.25">
      <c r="A6" t="s">
        <v>84</v>
      </c>
      <c r="B6" t="s">
        <v>85</v>
      </c>
    </row>
    <row r="7" spans="1:2" x14ac:dyDescent="0.25">
      <c r="A7" t="s">
        <v>37</v>
      </c>
      <c r="B7">
        <v>1.2</v>
      </c>
    </row>
    <row r="8" spans="1:2" x14ac:dyDescent="0.25">
      <c r="A8" t="s">
        <v>104</v>
      </c>
      <c r="B8" t="s">
        <v>40</v>
      </c>
    </row>
    <row r="13" spans="1:2" x14ac:dyDescent="0.25">
      <c r="A1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C3" sqref="C3"/>
    </sheetView>
  </sheetViews>
  <sheetFormatPr defaultRowHeight="15" x14ac:dyDescent="0.25"/>
  <cols>
    <col min="1" max="1" width="20.140625" bestFit="1" customWidth="1"/>
    <col min="3" max="3" width="21.710937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E27"/>
  <sheetViews>
    <sheetView zoomScale="85" zoomScaleNormal="85" workbookViewId="0">
      <selection activeCell="B12" sqref="B12"/>
    </sheetView>
  </sheetViews>
  <sheetFormatPr defaultRowHeight="15" x14ac:dyDescent="0.25"/>
  <cols>
    <col min="1" max="1" width="25.5703125" bestFit="1" customWidth="1"/>
    <col min="2" max="3" width="17" bestFit="1" customWidth="1"/>
  </cols>
  <sheetData>
    <row r="1" spans="1:5" x14ac:dyDescent="0.25">
      <c r="A1" t="s">
        <v>11</v>
      </c>
      <c r="B1" t="s">
        <v>12</v>
      </c>
      <c r="C1" t="s">
        <v>74</v>
      </c>
    </row>
    <row r="2" spans="1:5" x14ac:dyDescent="0.25">
      <c r="A2" t="s">
        <v>13</v>
      </c>
      <c r="B2" t="s">
        <v>109</v>
      </c>
      <c r="C2" t="s">
        <v>83</v>
      </c>
    </row>
    <row r="3" spans="1:5" x14ac:dyDescent="0.25">
      <c r="A3" t="s">
        <v>86</v>
      </c>
      <c r="B3" t="s">
        <v>87</v>
      </c>
      <c r="C3" t="s">
        <v>87</v>
      </c>
    </row>
    <row r="4" spans="1:5" x14ac:dyDescent="0.25">
      <c r="A4" t="s">
        <v>24</v>
      </c>
      <c r="B4" t="s">
        <v>31</v>
      </c>
      <c r="C4" t="s">
        <v>75</v>
      </c>
    </row>
    <row r="5" spans="1:5" x14ac:dyDescent="0.25">
      <c r="A5" t="s">
        <v>14</v>
      </c>
      <c r="B5" s="15" t="s">
        <v>81</v>
      </c>
      <c r="C5" s="15" t="s">
        <v>81</v>
      </c>
      <c r="D5" s="15"/>
      <c r="E5" s="15"/>
    </row>
    <row r="6" spans="1:5" x14ac:dyDescent="0.25">
      <c r="A6" t="s">
        <v>15</v>
      </c>
      <c r="B6" s="15" t="s">
        <v>16</v>
      </c>
      <c r="C6" s="15" t="s">
        <v>16</v>
      </c>
      <c r="D6" s="15"/>
      <c r="E6" s="15"/>
    </row>
    <row r="7" spans="1:5" x14ac:dyDescent="0.25">
      <c r="A7" t="s">
        <v>17</v>
      </c>
      <c r="B7" s="15" t="s">
        <v>18</v>
      </c>
      <c r="C7" s="15" t="s">
        <v>18</v>
      </c>
      <c r="D7" s="15"/>
      <c r="E7" s="15"/>
    </row>
    <row r="8" spans="1:5" x14ac:dyDescent="0.25">
      <c r="A8" t="s">
        <v>19</v>
      </c>
      <c r="B8" s="15" t="s">
        <v>9</v>
      </c>
      <c r="C8" s="15" t="s">
        <v>9</v>
      </c>
      <c r="D8" s="15"/>
      <c r="E8" s="15"/>
    </row>
    <row r="9" spans="1:5" x14ac:dyDescent="0.25">
      <c r="A9" t="s">
        <v>20</v>
      </c>
      <c r="B9" s="15" t="s">
        <v>18</v>
      </c>
      <c r="C9" s="15" t="s">
        <v>18</v>
      </c>
      <c r="D9" s="15"/>
      <c r="E9" s="15"/>
    </row>
    <row r="10" spans="1:5" x14ac:dyDescent="0.25">
      <c r="A10" t="s">
        <v>73</v>
      </c>
      <c r="B10" s="15"/>
      <c r="C10" s="15" t="s">
        <v>4</v>
      </c>
      <c r="D10" s="15"/>
      <c r="E10" s="15"/>
    </row>
    <row r="11" spans="1:5" x14ac:dyDescent="0.25">
      <c r="A11" t="s">
        <v>49</v>
      </c>
      <c r="B11" s="15"/>
      <c r="C11" s="15"/>
      <c r="D11" s="15"/>
      <c r="E11" s="15"/>
    </row>
    <row r="12" spans="1:5" x14ac:dyDescent="0.25">
      <c r="A12" t="s">
        <v>69</v>
      </c>
      <c r="B12" s="15" t="s">
        <v>88</v>
      </c>
      <c r="C12" s="15" t="s">
        <v>88</v>
      </c>
      <c r="D12" s="15"/>
      <c r="E12" s="15"/>
    </row>
    <row r="13" spans="1:5" x14ac:dyDescent="0.25">
      <c r="A13" t="s">
        <v>42</v>
      </c>
      <c r="B13" s="15" t="s">
        <v>18</v>
      </c>
      <c r="C13" s="15" t="s">
        <v>18</v>
      </c>
      <c r="D13" s="15"/>
      <c r="E13" s="15"/>
    </row>
    <row r="14" spans="1:5" x14ac:dyDescent="0.25">
      <c r="A14" t="s">
        <v>43</v>
      </c>
      <c r="B14" s="15" t="s">
        <v>18</v>
      </c>
      <c r="C14" s="15" t="s">
        <v>18</v>
      </c>
      <c r="D14" s="15"/>
      <c r="E14" s="15"/>
    </row>
    <row r="15" spans="1:5" x14ac:dyDescent="0.25">
      <c r="A15" t="s">
        <v>21</v>
      </c>
      <c r="B15" s="16"/>
      <c r="C15" s="16"/>
      <c r="D15" s="16"/>
      <c r="E15" s="16"/>
    </row>
    <row r="16" spans="1:5" x14ac:dyDescent="0.25">
      <c r="A16" t="s">
        <v>22</v>
      </c>
      <c r="B16" s="15"/>
      <c r="C16" s="15"/>
      <c r="D16" s="15"/>
      <c r="E16" s="15"/>
    </row>
    <row r="17" spans="1:5" x14ac:dyDescent="0.25">
      <c r="A17" t="s">
        <v>47</v>
      </c>
      <c r="B17" s="15" t="s">
        <v>48</v>
      </c>
      <c r="C17" s="15" t="s">
        <v>79</v>
      </c>
      <c r="D17" s="15"/>
      <c r="E17" s="15"/>
    </row>
    <row r="18" spans="1:5" x14ac:dyDescent="0.25">
      <c r="A18" t="s">
        <v>97</v>
      </c>
      <c r="B18" s="15">
        <v>13</v>
      </c>
      <c r="C18" s="15">
        <v>13</v>
      </c>
      <c r="D18" s="15"/>
      <c r="E18" s="15"/>
    </row>
    <row r="19" spans="1:5" x14ac:dyDescent="0.25">
      <c r="A19" t="s">
        <v>95</v>
      </c>
    </row>
    <row r="20" spans="1:5" x14ac:dyDescent="0.25">
      <c r="A20" t="s">
        <v>96</v>
      </c>
    </row>
    <row r="21" spans="1:5" x14ac:dyDescent="0.25">
      <c r="A21" t="s">
        <v>94</v>
      </c>
      <c r="C21" s="15"/>
      <c r="D21" s="15"/>
      <c r="E21" s="15"/>
    </row>
    <row r="22" spans="1:5" x14ac:dyDescent="0.25">
      <c r="A22" t="s">
        <v>98</v>
      </c>
    </row>
    <row r="23" spans="1:5" x14ac:dyDescent="0.25">
      <c r="A23" t="s">
        <v>99</v>
      </c>
    </row>
    <row r="24" spans="1:5" x14ac:dyDescent="0.25">
      <c r="A24" t="s">
        <v>100</v>
      </c>
    </row>
    <row r="25" spans="1:5" x14ac:dyDescent="0.25">
      <c r="A25" t="s">
        <v>101</v>
      </c>
    </row>
    <row r="26" spans="1:5" x14ac:dyDescent="0.25">
      <c r="A26" t="s">
        <v>102</v>
      </c>
    </row>
    <row r="27" spans="1:5" x14ac:dyDescent="0.25">
      <c r="A27" t="s">
        <v>103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A3" sqref="A3"/>
    </sheetView>
  </sheetViews>
  <sheetFormatPr defaultRowHeight="15" x14ac:dyDescent="0.25"/>
  <cols>
    <col min="1" max="1" width="24.28515625" bestFit="1" customWidth="1"/>
  </cols>
  <sheetData>
    <row r="1" spans="1:3" x14ac:dyDescent="0.25">
      <c r="A1" t="s">
        <v>70</v>
      </c>
      <c r="B1">
        <f>C1*0.8</f>
        <v>129.6</v>
      </c>
      <c r="C1">
        <v>162</v>
      </c>
    </row>
    <row r="2" spans="1:3" x14ac:dyDescent="0.25">
      <c r="A2" t="s">
        <v>71</v>
      </c>
      <c r="B2">
        <f>C2*0.8</f>
        <v>80</v>
      </c>
      <c r="C2">
        <v>100</v>
      </c>
    </row>
    <row r="3" spans="1:3" x14ac:dyDescent="0.25">
      <c r="A3" t="s">
        <v>72</v>
      </c>
      <c r="B3">
        <v>10</v>
      </c>
    </row>
    <row r="4" spans="1:3" x14ac:dyDescent="0.25">
      <c r="A4" t="s">
        <v>23</v>
      </c>
      <c r="B4">
        <v>1</v>
      </c>
    </row>
    <row r="5" spans="1:3" x14ac:dyDescent="0.25">
      <c r="A5" t="s">
        <v>39</v>
      </c>
      <c r="B5">
        <v>1.2</v>
      </c>
    </row>
    <row r="6" spans="1:3" x14ac:dyDescent="0.25">
      <c r="A6" t="s">
        <v>46</v>
      </c>
      <c r="B6">
        <v>0.2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E17" sqref="E17"/>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109</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7">
      <c r="B4" s="10" t="s">
        <v>28</v>
      </c>
      <c r="C4" s="9"/>
      <c r="D4" s="8"/>
      <c r="E4" s="8"/>
      <c r="F4" s="8"/>
      <c r="G4" s="8"/>
      <c r="H4" s="7"/>
    </row>
    <row r="5" spans="1:8" ht="81" customHeight="1" x14ac:dyDescent="0.7">
      <c r="B5" s="10"/>
      <c r="C5" s="6"/>
      <c r="D5" s="5"/>
      <c r="E5" s="5"/>
      <c r="F5" s="5"/>
      <c r="G5" s="5"/>
      <c r="H5" s="4"/>
    </row>
    <row r="6" spans="1:8" ht="81" customHeight="1" x14ac:dyDescent="0.7">
      <c r="B6" s="10" t="s">
        <v>29</v>
      </c>
      <c r="C6" s="6"/>
      <c r="D6" s="5"/>
      <c r="E6" s="5"/>
      <c r="F6" s="5"/>
      <c r="G6" s="5"/>
      <c r="H6" s="4"/>
    </row>
    <row r="7" spans="1:8" ht="81" customHeight="1" x14ac:dyDescent="0.7">
      <c r="B7" s="10"/>
      <c r="C7" s="6"/>
      <c r="D7" s="5"/>
      <c r="E7" s="5"/>
      <c r="F7" s="5"/>
      <c r="G7" s="5"/>
      <c r="H7" s="4"/>
    </row>
    <row r="8" spans="1:8" ht="92.25" customHeight="1" x14ac:dyDescent="0.7">
      <c r="B8" s="10" t="s">
        <v>30</v>
      </c>
      <c r="C8" s="6"/>
      <c r="D8" s="5"/>
      <c r="E8" s="5"/>
      <c r="F8" s="5"/>
      <c r="G8" s="5"/>
      <c r="H8" s="4"/>
    </row>
    <row r="9" spans="1:8" ht="78.75" customHeight="1" x14ac:dyDescent="0.7">
      <c r="B9" s="10"/>
      <c r="C9" s="6"/>
      <c r="D9" s="5"/>
      <c r="E9" s="5"/>
      <c r="F9" s="5"/>
      <c r="G9" s="5"/>
      <c r="H9" s="4"/>
    </row>
    <row r="10" spans="1:8" ht="78.75" customHeight="1" x14ac:dyDescent="0.7">
      <c r="B10" s="10" t="s">
        <v>68</v>
      </c>
      <c r="C10" s="6"/>
      <c r="D10" s="5"/>
      <c r="E10" s="5"/>
      <c r="F10" s="5"/>
      <c r="G10" s="5"/>
      <c r="H10" s="4"/>
    </row>
    <row r="11" spans="1:8" ht="78.75" customHeight="1" x14ac:dyDescent="0.7">
      <c r="B11" s="10"/>
      <c r="C11" s="6"/>
      <c r="D11" s="5"/>
      <c r="E11" s="5"/>
      <c r="F11" s="5"/>
      <c r="G11" s="5"/>
      <c r="H11" s="4"/>
    </row>
    <row r="12" spans="1:8" ht="78.75" customHeight="1" x14ac:dyDescent="0.7">
      <c r="B12" s="10" t="s">
        <v>66</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76</v>
      </c>
      <c r="D3" s="10" t="s">
        <v>76</v>
      </c>
      <c r="E3" s="10" t="s">
        <v>77</v>
      </c>
      <c r="F3" s="10" t="s">
        <v>77</v>
      </c>
      <c r="G3" s="10" t="s">
        <v>78</v>
      </c>
      <c r="H3" s="10" t="s">
        <v>78</v>
      </c>
    </row>
    <row r="4" spans="1:8" ht="81" customHeight="1" x14ac:dyDescent="0.7">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B2" sqref="B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75">
      <c r="B3" s="10"/>
      <c r="C3" s="10" t="s">
        <v>92</v>
      </c>
      <c r="D3" s="10" t="s">
        <v>90</v>
      </c>
      <c r="E3" s="10" t="s">
        <v>26</v>
      </c>
      <c r="F3" s="10" t="s">
        <v>91</v>
      </c>
      <c r="G3" s="12" t="s">
        <v>27</v>
      </c>
      <c r="H3" s="10" t="s">
        <v>89</v>
      </c>
    </row>
    <row r="4" spans="1:8" ht="97.9" customHeight="1" x14ac:dyDescent="0.7">
      <c r="B4" s="10" t="s">
        <v>76</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77</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78</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B3" sqref="B3"/>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92</v>
      </c>
      <c r="D3" s="10" t="s">
        <v>90</v>
      </c>
      <c r="E3" s="10" t="s">
        <v>26</v>
      </c>
      <c r="F3" s="10" t="s">
        <v>91</v>
      </c>
      <c r="G3" s="10" t="s">
        <v>27</v>
      </c>
      <c r="H3" s="10" t="s">
        <v>27</v>
      </c>
    </row>
    <row r="4" spans="1:8" ht="81" customHeight="1" x14ac:dyDescent="0.7">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
  <sheetViews>
    <sheetView zoomScale="10" zoomScaleNormal="10" workbookViewId="0">
      <selection activeCell="A31" sqref="A31"/>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33</v>
      </c>
      <c r="B1" s="15" t="s">
        <v>38</v>
      </c>
      <c r="C1" s="15" t="s">
        <v>10</v>
      </c>
      <c r="E1" s="15" t="s">
        <v>28</v>
      </c>
      <c r="F1" s="15" t="s">
        <v>52</v>
      </c>
      <c r="G1" s="15" t="s">
        <v>53</v>
      </c>
      <c r="H1" s="15" t="s">
        <v>54</v>
      </c>
      <c r="I1" s="15" t="s">
        <v>67</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2018-08-12T08:24:39Z</dcterms:modified>
</cp:coreProperties>
</file>